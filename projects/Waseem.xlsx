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Other computers\الكمبيوتر المحمول\drive\مشاريع\عبدالرحمن رحيل ابو محمد\"/>
    </mc:Choice>
  </mc:AlternateContent>
  <xr:revisionPtr revIDLastSave="0" documentId="13_ncr:1_{7B7A41F9-F631-450C-A6D9-02519A6E85E9}" xr6:coauthVersionLast="47" xr6:coauthVersionMax="47" xr10:uidLastSave="{00000000-0000-0000-0000-000000000000}"/>
  <bookViews>
    <workbookView xWindow="-108" yWindow="-108" windowWidth="23256" windowHeight="12456" xr2:uid="{2334376C-8E80-4247-8450-C3767357C2C9}"/>
  </bookViews>
  <sheets>
    <sheet name="sumry" sheetId="1" r:id="rId1"/>
    <sheet name="Excavation" sheetId="8" r:id="rId2"/>
    <sheet name="Foundation" sheetId="2" r:id="rId3"/>
    <sheet name="Columns" sheetId="3" r:id="rId4"/>
    <sheet name="Beams" sheetId="4" r:id="rId5"/>
    <sheet name="Slaps" sheetId="5" r:id="rId6"/>
    <sheet name="Stairs" sheetId="9" r:id="rId7"/>
    <sheet name="Bricks" sheetId="6" r:id="rId8"/>
    <sheet name="Plastering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52" i="1" l="1"/>
  <c r="AB51" i="1"/>
  <c r="AB49" i="1"/>
  <c r="AB43" i="1"/>
  <c r="W35" i="1"/>
  <c r="X35" i="1" s="1"/>
  <c r="W36" i="1"/>
  <c r="Y36" i="1" s="1"/>
  <c r="X36" i="1"/>
  <c r="Z36" i="1" s="1"/>
  <c r="AB36" i="1" s="1"/>
  <c r="W37" i="1"/>
  <c r="X37" i="1" s="1"/>
  <c r="W38" i="1"/>
  <c r="Y38" i="1" s="1"/>
  <c r="X38" i="1"/>
  <c r="Z38" i="1" s="1"/>
  <c r="AB38" i="1" s="1"/>
  <c r="W39" i="1"/>
  <c r="X39" i="1" s="1"/>
  <c r="W40" i="1"/>
  <c r="Y40" i="1" s="1"/>
  <c r="AA40" i="1" s="1"/>
  <c r="X40" i="1"/>
  <c r="Z40" i="1" s="1"/>
  <c r="AB40" i="1" s="1"/>
  <c r="W41" i="1"/>
  <c r="X41" i="1" s="1"/>
  <c r="W42" i="1"/>
  <c r="Y42" i="1" s="1"/>
  <c r="X42" i="1"/>
  <c r="Z42" i="1" s="1"/>
  <c r="AB42" i="1" s="1"/>
  <c r="AB21" i="1"/>
  <c r="AB22" i="1"/>
  <c r="AB25" i="1"/>
  <c r="AB26" i="1"/>
  <c r="AB28" i="1"/>
  <c r="AB29" i="1"/>
  <c r="AB30" i="1"/>
  <c r="AB31" i="1"/>
  <c r="AB34" i="1" s="1"/>
  <c r="AB32" i="1"/>
  <c r="AB33" i="1"/>
  <c r="AB20" i="1"/>
  <c r="U15" i="1"/>
  <c r="X48" i="1"/>
  <c r="Z48" i="1" s="1"/>
  <c r="AB48" i="1" s="1"/>
  <c r="W48" i="1"/>
  <c r="X47" i="1"/>
  <c r="Z47" i="1" s="1"/>
  <c r="AB47" i="1" s="1"/>
  <c r="W47" i="1"/>
  <c r="X46" i="1"/>
  <c r="Z46" i="1" s="1"/>
  <c r="AB46" i="1" s="1"/>
  <c r="W46" i="1"/>
  <c r="Y45" i="1"/>
  <c r="AA45" i="1" s="1"/>
  <c r="X45" i="1"/>
  <c r="Z45" i="1" s="1"/>
  <c r="AB45" i="1" s="1"/>
  <c r="W45" i="1"/>
  <c r="X44" i="1"/>
  <c r="Z44" i="1" s="1"/>
  <c r="AB44" i="1" s="1"/>
  <c r="W44" i="1"/>
  <c r="X33" i="1"/>
  <c r="Z33" i="1" s="1"/>
  <c r="W33" i="1"/>
  <c r="Y32" i="1"/>
  <c r="AA32" i="1" s="1"/>
  <c r="X32" i="1"/>
  <c r="Z32" i="1" s="1"/>
  <c r="W32" i="1"/>
  <c r="X31" i="1"/>
  <c r="Z31" i="1" s="1"/>
  <c r="W31" i="1"/>
  <c r="X30" i="1"/>
  <c r="Z30" i="1" s="1"/>
  <c r="W30" i="1"/>
  <c r="X29" i="1"/>
  <c r="Z29" i="1" s="1"/>
  <c r="W29" i="1"/>
  <c r="Y28" i="1"/>
  <c r="AA28" i="1" s="1"/>
  <c r="X28" i="1"/>
  <c r="Z28" i="1" s="1"/>
  <c r="W28" i="1"/>
  <c r="Y26" i="1"/>
  <c r="AA26" i="1" s="1"/>
  <c r="X26" i="1"/>
  <c r="Z26" i="1" s="1"/>
  <c r="W26" i="1"/>
  <c r="X25" i="1"/>
  <c r="Z25" i="1" s="1"/>
  <c r="W25" i="1"/>
  <c r="X24" i="1"/>
  <c r="Z24" i="1" s="1"/>
  <c r="AB24" i="1" s="1"/>
  <c r="W24" i="1"/>
  <c r="X23" i="1"/>
  <c r="Z23" i="1" s="1"/>
  <c r="AB23" i="1" s="1"/>
  <c r="W23" i="1"/>
  <c r="Y22" i="1"/>
  <c r="AA22" i="1" s="1"/>
  <c r="X22" i="1"/>
  <c r="Z22" i="1" s="1"/>
  <c r="W22" i="1"/>
  <c r="X21" i="1"/>
  <c r="Z21" i="1" s="1"/>
  <c r="W21" i="1"/>
  <c r="W20" i="1"/>
  <c r="X20" i="1" s="1"/>
  <c r="Z20" i="1" s="1"/>
  <c r="P11" i="3"/>
  <c r="P9" i="3"/>
  <c r="Y17" i="1"/>
  <c r="AA17" i="1" s="1"/>
  <c r="W17" i="1"/>
  <c r="X17" i="1"/>
  <c r="Z17" i="1" s="1"/>
  <c r="W16" i="1"/>
  <c r="X16" i="1" s="1"/>
  <c r="Z16" i="1" s="1"/>
  <c r="AB16" i="1" s="1"/>
  <c r="W15" i="1"/>
  <c r="X15" i="1" s="1"/>
  <c r="M9" i="4"/>
  <c r="M10" i="4"/>
  <c r="M11" i="4"/>
  <c r="M12" i="4"/>
  <c r="M13" i="4"/>
  <c r="L9" i="2"/>
  <c r="P13" i="2"/>
  <c r="P12" i="2"/>
  <c r="P11" i="2"/>
  <c r="P10" i="2"/>
  <c r="P9" i="2"/>
  <c r="P8" i="2"/>
  <c r="L13" i="2"/>
  <c r="L12" i="2"/>
  <c r="L11" i="2"/>
  <c r="L10" i="2"/>
  <c r="L8" i="2"/>
  <c r="F8" i="8"/>
  <c r="D15" i="1"/>
  <c r="F12" i="8"/>
  <c r="F11" i="8"/>
  <c r="F9" i="8"/>
  <c r="F10" i="8"/>
  <c r="N24" i="7"/>
  <c r="M24" i="7"/>
  <c r="N23" i="7"/>
  <c r="M23" i="7"/>
  <c r="M22" i="7"/>
  <c r="O22" i="7" s="1"/>
  <c r="N21" i="7"/>
  <c r="M21" i="7"/>
  <c r="N20" i="7"/>
  <c r="M20" i="7"/>
  <c r="N19" i="7"/>
  <c r="M19" i="7"/>
  <c r="M18" i="7"/>
  <c r="O18" i="7" s="1"/>
  <c r="N17" i="7"/>
  <c r="M17" i="7"/>
  <c r="N16" i="7"/>
  <c r="M16" i="7"/>
  <c r="N15" i="7"/>
  <c r="M15" i="7"/>
  <c r="M14" i="7"/>
  <c r="O14" i="7" s="1"/>
  <c r="N13" i="7"/>
  <c r="M13" i="7"/>
  <c r="N12" i="7"/>
  <c r="M12" i="7"/>
  <c r="N11" i="7"/>
  <c r="M11" i="7"/>
  <c r="M10" i="7"/>
  <c r="N9" i="7"/>
  <c r="M9" i="7"/>
  <c r="N8" i="7"/>
  <c r="M8" i="7"/>
  <c r="N7" i="7"/>
  <c r="M7" i="7"/>
  <c r="Q16" i="6"/>
  <c r="Q13" i="6"/>
  <c r="Q10" i="6"/>
  <c r="Q7" i="6"/>
  <c r="I25" i="7"/>
  <c r="H25" i="7"/>
  <c r="H6" i="1"/>
  <c r="H7" i="1"/>
  <c r="H8" i="1"/>
  <c r="H9" i="1"/>
  <c r="H10" i="1"/>
  <c r="H11" i="1"/>
  <c r="H4" i="1"/>
  <c r="D21" i="4" s="1"/>
  <c r="E9" i="1"/>
  <c r="E10" i="1"/>
  <c r="E11" i="1"/>
  <c r="E8" i="1"/>
  <c r="L5" i="1"/>
  <c r="L6" i="1"/>
  <c r="L7" i="1"/>
  <c r="L4" i="1"/>
  <c r="O5" i="1"/>
  <c r="H5" i="1" s="1"/>
  <c r="Q14" i="9"/>
  <c r="Q5" i="9"/>
  <c r="F8" i="9" s="1"/>
  <c r="N16" i="3"/>
  <c r="K16" i="6"/>
  <c r="K13" i="6"/>
  <c r="K10" i="6"/>
  <c r="K7" i="6"/>
  <c r="J20" i="6"/>
  <c r="J19" i="6"/>
  <c r="J18" i="6"/>
  <c r="J17" i="6"/>
  <c r="J15" i="6"/>
  <c r="J14" i="6"/>
  <c r="J12" i="6"/>
  <c r="J11" i="6"/>
  <c r="J9" i="6"/>
  <c r="J8" i="6"/>
  <c r="Q8" i="6"/>
  <c r="Q9" i="6"/>
  <c r="Q11" i="6"/>
  <c r="Q12" i="6"/>
  <c r="Q14" i="6"/>
  <c r="Q15" i="6"/>
  <c r="Q17" i="6"/>
  <c r="Q18" i="6"/>
  <c r="Q19" i="6"/>
  <c r="Q20" i="6"/>
  <c r="I21" i="6"/>
  <c r="H21" i="6"/>
  <c r="M16" i="6"/>
  <c r="N16" i="6" s="1"/>
  <c r="O16" i="6" s="1"/>
  <c r="L16" i="6"/>
  <c r="M13" i="6"/>
  <c r="N13" i="6" s="1"/>
  <c r="L13" i="6"/>
  <c r="M10" i="6"/>
  <c r="N10" i="6" s="1"/>
  <c r="L10" i="6"/>
  <c r="L7" i="6"/>
  <c r="M7" i="6"/>
  <c r="L8" i="6"/>
  <c r="N8" i="6" s="1"/>
  <c r="O8" i="6" s="1"/>
  <c r="L9" i="6"/>
  <c r="N9" i="6" s="1"/>
  <c r="O9" i="6" s="1"/>
  <c r="L11" i="6"/>
  <c r="N11" i="6" s="1"/>
  <c r="O11" i="6" s="1"/>
  <c r="L12" i="6"/>
  <c r="N12" i="6" s="1"/>
  <c r="O12" i="6" s="1"/>
  <c r="L14" i="6"/>
  <c r="N14" i="6" s="1"/>
  <c r="O14" i="6" s="1"/>
  <c r="L15" i="6"/>
  <c r="N15" i="6" s="1"/>
  <c r="O15" i="6" s="1"/>
  <c r="L17" i="6"/>
  <c r="N17" i="6" s="1"/>
  <c r="O17" i="6" s="1"/>
  <c r="L18" i="6"/>
  <c r="N18" i="6" s="1"/>
  <c r="O18" i="6" s="1"/>
  <c r="L19" i="6"/>
  <c r="N19" i="6" s="1"/>
  <c r="O19" i="6" s="1"/>
  <c r="L20" i="6"/>
  <c r="N20" i="6" s="1"/>
  <c r="O20" i="6" s="1"/>
  <c r="I165" i="1"/>
  <c r="E175" i="1"/>
  <c r="G175" i="1"/>
  <c r="E177" i="1"/>
  <c r="G177" i="1"/>
  <c r="E178" i="1"/>
  <c r="G178" i="1"/>
  <c r="E179" i="1"/>
  <c r="G179" i="1"/>
  <c r="E180" i="1"/>
  <c r="G180" i="1"/>
  <c r="G181" i="1"/>
  <c r="E182" i="1"/>
  <c r="G182" i="1"/>
  <c r="Q27" i="5"/>
  <c r="F8" i="2"/>
  <c r="AB27" i="1" l="1"/>
  <c r="AB50" i="1" s="1"/>
  <c r="Y48" i="1"/>
  <c r="AA48" i="1" s="1"/>
  <c r="Y47" i="1"/>
  <c r="AA47" i="1" s="1"/>
  <c r="Y46" i="1"/>
  <c r="AA46" i="1" s="1"/>
  <c r="Y44" i="1"/>
  <c r="AA44" i="1" s="1"/>
  <c r="Y37" i="1"/>
  <c r="AA37" i="1" s="1"/>
  <c r="Z37" i="1"/>
  <c r="AB37" i="1" s="1"/>
  <c r="Y41" i="1"/>
  <c r="Z41" i="1"/>
  <c r="AB41" i="1" s="1"/>
  <c r="AA36" i="1"/>
  <c r="AA42" i="1"/>
  <c r="Y39" i="1"/>
  <c r="Z39" i="1"/>
  <c r="AB39" i="1" s="1"/>
  <c r="AA38" i="1"/>
  <c r="Y35" i="1"/>
  <c r="AA35" i="1" s="1"/>
  <c r="Z35" i="1"/>
  <c r="AB35" i="1" s="1"/>
  <c r="Y33" i="1"/>
  <c r="AA33" i="1" s="1"/>
  <c r="Y31" i="1"/>
  <c r="AA31" i="1" s="1"/>
  <c r="Y30" i="1"/>
  <c r="AA30" i="1" s="1"/>
  <c r="Y29" i="1"/>
  <c r="AA29" i="1" s="1"/>
  <c r="Y25" i="1"/>
  <c r="AA25" i="1" s="1"/>
  <c r="Y24" i="1"/>
  <c r="AA24" i="1" s="1"/>
  <c r="Y23" i="1"/>
  <c r="AA23" i="1" s="1"/>
  <c r="Y21" i="1"/>
  <c r="AA21" i="1" s="1"/>
  <c r="Y20" i="1"/>
  <c r="AA20" i="1" s="1"/>
  <c r="Z15" i="1"/>
  <c r="AB15" i="1" s="1"/>
  <c r="AB18" i="1" s="1"/>
  <c r="Y16" i="1"/>
  <c r="AA16" i="1" s="1"/>
  <c r="Y15" i="1"/>
  <c r="AA15" i="1" s="1"/>
  <c r="O16" i="7"/>
  <c r="O17" i="7"/>
  <c r="O7" i="7"/>
  <c r="Q7" i="7" s="1"/>
  <c r="S7" i="7" s="1"/>
  <c r="O23" i="7"/>
  <c r="Q23" i="7" s="1"/>
  <c r="O27" i="7"/>
  <c r="O29" i="7" s="1"/>
  <c r="O11" i="7"/>
  <c r="P11" i="7" s="1"/>
  <c r="O12" i="7"/>
  <c r="Q12" i="7" s="1"/>
  <c r="S12" i="7" s="1"/>
  <c r="O21" i="7"/>
  <c r="Q21" i="7" s="1"/>
  <c r="O13" i="7"/>
  <c r="Q13" i="7" s="1"/>
  <c r="O19" i="7"/>
  <c r="P19" i="7" s="1"/>
  <c r="O15" i="7"/>
  <c r="Q15" i="7" s="1"/>
  <c r="O24" i="7"/>
  <c r="P24" i="7" s="1"/>
  <c r="O20" i="7"/>
  <c r="Q20" i="7" s="1"/>
  <c r="Q22" i="7"/>
  <c r="P22" i="7"/>
  <c r="Q17" i="7"/>
  <c r="P17" i="7"/>
  <c r="P18" i="7"/>
  <c r="Q18" i="7"/>
  <c r="Q16" i="7"/>
  <c r="P16" i="7"/>
  <c r="Q14" i="7"/>
  <c r="P14" i="7"/>
  <c r="P12" i="7"/>
  <c r="O10" i="7"/>
  <c r="O9" i="7"/>
  <c r="Q9" i="7" s="1"/>
  <c r="O8" i="7"/>
  <c r="Q8" i="7" s="1"/>
  <c r="N7" i="6"/>
  <c r="N21" i="6" s="1"/>
  <c r="O13" i="6"/>
  <c r="O10" i="6"/>
  <c r="M25" i="7"/>
  <c r="O28" i="7" s="1"/>
  <c r="O30" i="7" s="1"/>
  <c r="O31" i="7" s="1"/>
  <c r="Q21" i="6"/>
  <c r="L21" i="6"/>
  <c r="D28" i="6" s="1"/>
  <c r="I8" i="5"/>
  <c r="M8" i="5"/>
  <c r="P35" i="5"/>
  <c r="Q34" i="5"/>
  <c r="T34" i="5" s="1"/>
  <c r="P34" i="5"/>
  <c r="F34" i="5"/>
  <c r="H34" i="5" s="1"/>
  <c r="Q33" i="5"/>
  <c r="T33" i="5" s="1"/>
  <c r="P33" i="5"/>
  <c r="F33" i="5"/>
  <c r="H33" i="5" s="1"/>
  <c r="Q32" i="5"/>
  <c r="T32" i="5" s="1"/>
  <c r="P32" i="5"/>
  <c r="F32" i="5"/>
  <c r="G32" i="5" s="1"/>
  <c r="Q31" i="5"/>
  <c r="T31" i="5" s="1"/>
  <c r="P31" i="5"/>
  <c r="G31" i="5"/>
  <c r="F31" i="5"/>
  <c r="H31" i="5" s="1"/>
  <c r="Q30" i="5"/>
  <c r="T30" i="5" s="1"/>
  <c r="P30" i="5"/>
  <c r="F30" i="5"/>
  <c r="H30" i="5" s="1"/>
  <c r="Q29" i="5"/>
  <c r="T29" i="5" s="1"/>
  <c r="P29" i="5"/>
  <c r="F29" i="5"/>
  <c r="H29" i="5" s="1"/>
  <c r="Q28" i="5"/>
  <c r="T28" i="5" s="1"/>
  <c r="P28" i="5"/>
  <c r="F28" i="5"/>
  <c r="G28" i="5" s="1"/>
  <c r="T27" i="5"/>
  <c r="P27" i="5"/>
  <c r="F27" i="5"/>
  <c r="H27" i="5" s="1"/>
  <c r="Q26" i="5"/>
  <c r="T26" i="5" s="1"/>
  <c r="P26" i="5"/>
  <c r="F26" i="5"/>
  <c r="H26" i="5" s="1"/>
  <c r="T25" i="5"/>
  <c r="P25" i="5"/>
  <c r="F25" i="5"/>
  <c r="H25" i="5" s="1"/>
  <c r="J25" i="5" s="1"/>
  <c r="AA39" i="1" l="1"/>
  <c r="AA41" i="1"/>
  <c r="D31" i="7"/>
  <c r="E23" i="1" s="1"/>
  <c r="E39" i="1" s="1"/>
  <c r="P9" i="7"/>
  <c r="U9" i="7" s="1"/>
  <c r="V7" i="7"/>
  <c r="P7" i="7"/>
  <c r="U7" i="7" s="1"/>
  <c r="Q24" i="7"/>
  <c r="S24" i="7" s="1"/>
  <c r="P23" i="7"/>
  <c r="R23" i="7" s="1"/>
  <c r="Q19" i="7"/>
  <c r="S19" i="7" s="1"/>
  <c r="P15" i="7"/>
  <c r="Q11" i="7"/>
  <c r="V12" i="7"/>
  <c r="S8" i="7"/>
  <c r="V8" i="7"/>
  <c r="P13" i="7"/>
  <c r="U13" i="7" s="1"/>
  <c r="P21" i="7"/>
  <c r="R21" i="7" s="1"/>
  <c r="S9" i="7"/>
  <c r="V9" i="7"/>
  <c r="P20" i="7"/>
  <c r="R20" i="7" s="1"/>
  <c r="U24" i="7"/>
  <c r="R24" i="7"/>
  <c r="V23" i="7"/>
  <c r="S23" i="7"/>
  <c r="V22" i="7"/>
  <c r="S22" i="7"/>
  <c r="U19" i="7"/>
  <c r="R19" i="7"/>
  <c r="U21" i="7"/>
  <c r="V21" i="7"/>
  <c r="S21" i="7"/>
  <c r="U22" i="7"/>
  <c r="R22" i="7"/>
  <c r="S20" i="7"/>
  <c r="V20" i="7"/>
  <c r="U17" i="7"/>
  <c r="R17" i="7"/>
  <c r="V17" i="7"/>
  <c r="S17" i="7"/>
  <c r="R16" i="7"/>
  <c r="U16" i="7"/>
  <c r="S16" i="7"/>
  <c r="V16" i="7"/>
  <c r="U15" i="7"/>
  <c r="R15" i="7"/>
  <c r="U18" i="7"/>
  <c r="R18" i="7"/>
  <c r="V15" i="7"/>
  <c r="S15" i="7"/>
  <c r="V18" i="7"/>
  <c r="S18" i="7"/>
  <c r="T18" i="7" s="1"/>
  <c r="J18" i="7" s="1"/>
  <c r="U14" i="7"/>
  <c r="R14" i="7"/>
  <c r="V14" i="7"/>
  <c r="S14" i="7"/>
  <c r="V13" i="7"/>
  <c r="S13" i="7"/>
  <c r="R11" i="7"/>
  <c r="U11" i="7"/>
  <c r="R12" i="7"/>
  <c r="T12" i="7" s="1"/>
  <c r="J12" i="7" s="1"/>
  <c r="U12" i="7"/>
  <c r="V11" i="7"/>
  <c r="S11" i="7"/>
  <c r="Q10" i="7"/>
  <c r="P10" i="7"/>
  <c r="P8" i="7"/>
  <c r="O7" i="6"/>
  <c r="O21" i="6" s="1"/>
  <c r="E22" i="1"/>
  <c r="E38" i="1" s="1"/>
  <c r="I22" i="1"/>
  <c r="M22" i="1"/>
  <c r="D27" i="6"/>
  <c r="J29" i="5"/>
  <c r="I29" i="5"/>
  <c r="G29" i="5"/>
  <c r="H32" i="5"/>
  <c r="J32" i="5" s="1"/>
  <c r="L35" i="5"/>
  <c r="J33" i="5"/>
  <c r="I33" i="5"/>
  <c r="G33" i="5"/>
  <c r="U34" i="5"/>
  <c r="U33" i="5"/>
  <c r="U32" i="5"/>
  <c r="R35" i="5"/>
  <c r="U31" i="5"/>
  <c r="U30" i="5"/>
  <c r="U29" i="5"/>
  <c r="U28" i="5"/>
  <c r="U26" i="5"/>
  <c r="N35" i="5"/>
  <c r="U27" i="5"/>
  <c r="U25" i="5"/>
  <c r="H28" i="5"/>
  <c r="J28" i="5" s="1"/>
  <c r="G27" i="5"/>
  <c r="I34" i="5"/>
  <c r="J34" i="5"/>
  <c r="I27" i="5"/>
  <c r="J27" i="5"/>
  <c r="I30" i="5"/>
  <c r="J30" i="5"/>
  <c r="J31" i="5"/>
  <c r="I31" i="5"/>
  <c r="I26" i="5"/>
  <c r="J26" i="5"/>
  <c r="I25" i="5"/>
  <c r="G25" i="5"/>
  <c r="G26" i="5"/>
  <c r="G30" i="5"/>
  <c r="I32" i="5"/>
  <c r="G34" i="5"/>
  <c r="F35" i="5"/>
  <c r="T35" i="5"/>
  <c r="H35" i="5" l="1"/>
  <c r="D43" i="5" s="1"/>
  <c r="E21" i="1" s="1"/>
  <c r="E37" i="1" s="1"/>
  <c r="W7" i="7"/>
  <c r="K7" i="7" s="1"/>
  <c r="R7" i="7"/>
  <c r="T7" i="7" s="1"/>
  <c r="J7" i="7" s="1"/>
  <c r="R9" i="7"/>
  <c r="T9" i="7" s="1"/>
  <c r="J9" i="7" s="1"/>
  <c r="U23" i="7"/>
  <c r="W23" i="7" s="1"/>
  <c r="K23" i="7" s="1"/>
  <c r="W9" i="7"/>
  <c r="K9" i="7" s="1"/>
  <c r="V24" i="7"/>
  <c r="W24" i="7" s="1"/>
  <c r="K24" i="7" s="1"/>
  <c r="V19" i="7"/>
  <c r="R13" i="7"/>
  <c r="T13" i="7" s="1"/>
  <c r="J13" i="7" s="1"/>
  <c r="W11" i="7"/>
  <c r="K11" i="7" s="1"/>
  <c r="T11" i="7"/>
  <c r="J11" i="7" s="1"/>
  <c r="W12" i="7"/>
  <c r="K12" i="7" s="1"/>
  <c r="T14" i="7"/>
  <c r="J14" i="7" s="1"/>
  <c r="W14" i="7"/>
  <c r="K14" i="7" s="1"/>
  <c r="W17" i="7"/>
  <c r="K17" i="7" s="1"/>
  <c r="T23" i="7"/>
  <c r="J23" i="7" s="1"/>
  <c r="R8" i="7"/>
  <c r="T8" i="7" s="1"/>
  <c r="J8" i="7" s="1"/>
  <c r="U8" i="7"/>
  <c r="W8" i="7" s="1"/>
  <c r="K8" i="7" s="1"/>
  <c r="T16" i="7"/>
  <c r="J16" i="7" s="1"/>
  <c r="T20" i="7"/>
  <c r="J20" i="7" s="1"/>
  <c r="U20" i="7"/>
  <c r="W20" i="7" s="1"/>
  <c r="K20" i="7" s="1"/>
  <c r="T24" i="7"/>
  <c r="J24" i="7" s="1"/>
  <c r="W19" i="7"/>
  <c r="K19" i="7" s="1"/>
  <c r="T19" i="7"/>
  <c r="J19" i="7" s="1"/>
  <c r="T21" i="7"/>
  <c r="J21" i="7" s="1"/>
  <c r="T22" i="7"/>
  <c r="J22" i="7" s="1"/>
  <c r="W21" i="7"/>
  <c r="K21" i="7" s="1"/>
  <c r="W22" i="7"/>
  <c r="K22" i="7" s="1"/>
  <c r="W16" i="7"/>
  <c r="K16" i="7" s="1"/>
  <c r="W18" i="7"/>
  <c r="K18" i="7" s="1"/>
  <c r="T15" i="7"/>
  <c r="J15" i="7" s="1"/>
  <c r="W15" i="7"/>
  <c r="K15" i="7" s="1"/>
  <c r="T17" i="7"/>
  <c r="J17" i="7" s="1"/>
  <c r="W13" i="7"/>
  <c r="K13" i="7" s="1"/>
  <c r="U10" i="7"/>
  <c r="R10" i="7"/>
  <c r="S10" i="7"/>
  <c r="V10" i="7"/>
  <c r="D25" i="6"/>
  <c r="D26" i="6"/>
  <c r="G35" i="5"/>
  <c r="D42" i="5" s="1"/>
  <c r="J35" i="5"/>
  <c r="D41" i="5"/>
  <c r="U35" i="5"/>
  <c r="J21" i="1" s="1"/>
  <c r="I28" i="5"/>
  <c r="I35" i="5" s="1"/>
  <c r="T10" i="7" l="1"/>
  <c r="J10" i="7" s="1"/>
  <c r="J25" i="7" s="1"/>
  <c r="W10" i="7"/>
  <c r="K10" i="7" s="1"/>
  <c r="K25" i="7" s="1"/>
  <c r="D22" i="1"/>
  <c r="N22" i="1"/>
  <c r="D29" i="6"/>
  <c r="L21" i="1"/>
  <c r="L24" i="1" s="1"/>
  <c r="L26" i="1" s="1"/>
  <c r="D40" i="5"/>
  <c r="K21" i="1"/>
  <c r="D39" i="5"/>
  <c r="I21" i="1"/>
  <c r="I15" i="9"/>
  <c r="M14" i="9"/>
  <c r="K14" i="9"/>
  <c r="G14" i="9"/>
  <c r="Q13" i="9"/>
  <c r="Q6" i="9"/>
  <c r="Q7" i="9" s="1"/>
  <c r="Q8" i="9" s="1"/>
  <c r="J8" i="5"/>
  <c r="N8" i="5"/>
  <c r="F8" i="5"/>
  <c r="E18" i="1"/>
  <c r="E34" i="1" s="1"/>
  <c r="P9" i="4"/>
  <c r="P10" i="4"/>
  <c r="O11" i="4"/>
  <c r="O12" i="4"/>
  <c r="P13" i="4"/>
  <c r="S13" i="4" s="1"/>
  <c r="M8" i="4"/>
  <c r="G10" i="4"/>
  <c r="I10" i="4" s="1"/>
  <c r="G11" i="4"/>
  <c r="I11" i="4" s="1"/>
  <c r="K11" i="4" s="1"/>
  <c r="G12" i="4"/>
  <c r="I12" i="4" s="1"/>
  <c r="G13" i="4"/>
  <c r="I13" i="4" s="1"/>
  <c r="G9" i="4"/>
  <c r="I9" i="4" s="1"/>
  <c r="S14" i="4"/>
  <c r="O9" i="4"/>
  <c r="O10" i="4"/>
  <c r="G8" i="4"/>
  <c r="I8" i="4" s="1"/>
  <c r="D23" i="3"/>
  <c r="E17" i="1" s="1"/>
  <c r="E33" i="1" s="1"/>
  <c r="T16" i="3"/>
  <c r="T8" i="3"/>
  <c r="P8" i="3"/>
  <c r="P10" i="3"/>
  <c r="N12" i="3"/>
  <c r="P12" i="3" s="1"/>
  <c r="N13" i="3"/>
  <c r="P13" i="3" s="1"/>
  <c r="N14" i="3"/>
  <c r="P14" i="3" s="1"/>
  <c r="N15" i="3"/>
  <c r="P15" i="3" s="1"/>
  <c r="R14" i="3"/>
  <c r="T14" i="3" s="1"/>
  <c r="R15" i="3"/>
  <c r="T15" i="3" s="1"/>
  <c r="T9" i="3"/>
  <c r="T10" i="3"/>
  <c r="T11" i="3"/>
  <c r="R12" i="3"/>
  <c r="T12" i="3" s="1"/>
  <c r="R13" i="3"/>
  <c r="T13" i="3" s="1"/>
  <c r="H15" i="3"/>
  <c r="J15" i="3" s="1"/>
  <c r="K15" i="3" s="1"/>
  <c r="H13" i="3"/>
  <c r="J13" i="3" s="1"/>
  <c r="K13" i="3" s="1"/>
  <c r="H11" i="3"/>
  <c r="J11" i="3" s="1"/>
  <c r="K11" i="3" s="1"/>
  <c r="H9" i="3"/>
  <c r="J9" i="3" s="1"/>
  <c r="K9" i="3" s="1"/>
  <c r="H14" i="3"/>
  <c r="J14" i="3" s="1"/>
  <c r="K14" i="3" s="1"/>
  <c r="H12" i="3"/>
  <c r="J12" i="3" s="1"/>
  <c r="K12" i="3" s="1"/>
  <c r="H10" i="3"/>
  <c r="J10" i="3" s="1"/>
  <c r="K10" i="3" s="1"/>
  <c r="H8" i="3"/>
  <c r="J8" i="3" s="1"/>
  <c r="K8" i="3" s="1"/>
  <c r="D31" i="1"/>
  <c r="M24" i="1"/>
  <c r="M26" i="1" s="1"/>
  <c r="N13" i="2"/>
  <c r="N12" i="2"/>
  <c r="N11" i="2"/>
  <c r="N10" i="2"/>
  <c r="N9" i="2"/>
  <c r="R13" i="2"/>
  <c r="R12" i="2"/>
  <c r="R11" i="2"/>
  <c r="R10" i="2"/>
  <c r="R9" i="2"/>
  <c r="R8" i="2"/>
  <c r="N8" i="2"/>
  <c r="H8" i="2"/>
  <c r="F10" i="2"/>
  <c r="H10" i="2" s="1"/>
  <c r="F12" i="2"/>
  <c r="H12" i="2" s="1"/>
  <c r="K89" i="1"/>
  <c r="K148" i="1"/>
  <c r="K149" i="1"/>
  <c r="K150" i="1"/>
  <c r="J165" i="1"/>
  <c r="I167" i="1"/>
  <c r="J167" i="1" s="1"/>
  <c r="K167" i="1" s="1"/>
  <c r="H167" i="1"/>
  <c r="I166" i="1"/>
  <c r="J166" i="1" s="1"/>
  <c r="K166" i="1" s="1"/>
  <c r="H166" i="1"/>
  <c r="F100" i="1"/>
  <c r="H100" i="1" s="1"/>
  <c r="F99" i="1"/>
  <c r="H99" i="1" s="1"/>
  <c r="F147" i="1"/>
  <c r="H147" i="1" s="1"/>
  <c r="F146" i="1"/>
  <c r="G146" i="1" s="1"/>
  <c r="O157" i="1"/>
  <c r="K109" i="1"/>
  <c r="K110" i="1"/>
  <c r="K111" i="1"/>
  <c r="K112" i="1"/>
  <c r="K113" i="1"/>
  <c r="F136" i="1"/>
  <c r="H136" i="1" s="1"/>
  <c r="F148" i="1"/>
  <c r="G148" i="1" s="1"/>
  <c r="F149" i="1"/>
  <c r="H149" i="1" s="1"/>
  <c r="F150" i="1"/>
  <c r="G150" i="1" s="1"/>
  <c r="O160" i="1"/>
  <c r="O156" i="1"/>
  <c r="F158" i="1" s="1"/>
  <c r="O162" i="1"/>
  <c r="E81" i="1"/>
  <c r="F81" i="1" s="1"/>
  <c r="G170" i="1"/>
  <c r="F170" i="1"/>
  <c r="I169" i="1"/>
  <c r="J169" i="1" s="1"/>
  <c r="H169" i="1"/>
  <c r="I168" i="1"/>
  <c r="J168" i="1" s="1"/>
  <c r="H168" i="1"/>
  <c r="F145" i="1"/>
  <c r="H145" i="1" s="1"/>
  <c r="F110" i="1"/>
  <c r="H110" i="1" s="1"/>
  <c r="F109" i="1"/>
  <c r="H109" i="1" s="1"/>
  <c r="F108" i="1"/>
  <c r="H108" i="1" s="1"/>
  <c r="F113" i="1"/>
  <c r="H113" i="1" s="1"/>
  <c r="F112" i="1"/>
  <c r="H112" i="1" s="1"/>
  <c r="F111" i="1"/>
  <c r="H111" i="1" s="1"/>
  <c r="F98" i="1"/>
  <c r="H98" i="1" s="1"/>
  <c r="F97" i="1"/>
  <c r="H97" i="1" s="1"/>
  <c r="F89" i="1"/>
  <c r="H89" i="1" s="1"/>
  <c r="F88" i="1"/>
  <c r="H88" i="1" s="1"/>
  <c r="I88" i="1" s="1"/>
  <c r="G8" i="5" l="1"/>
  <c r="G9" i="5" s="1"/>
  <c r="D15" i="5"/>
  <c r="E19" i="1" s="1"/>
  <c r="E35" i="1" s="1"/>
  <c r="S10" i="4"/>
  <c r="T10" i="4" s="1"/>
  <c r="O8" i="4"/>
  <c r="M14" i="4" s="1"/>
  <c r="D30" i="7"/>
  <c r="N23" i="1"/>
  <c r="N24" i="1" s="1"/>
  <c r="N26" i="1" s="1"/>
  <c r="D29" i="7"/>
  <c r="I23" i="1"/>
  <c r="F22" i="1"/>
  <c r="F38" i="1" s="1"/>
  <c r="D38" i="1"/>
  <c r="F14" i="9"/>
  <c r="N14" i="9"/>
  <c r="O14" i="2"/>
  <c r="R14" i="2"/>
  <c r="D175" i="1"/>
  <c r="I175" i="1"/>
  <c r="O163" i="1"/>
  <c r="O164" i="1" s="1"/>
  <c r="O165" i="1" s="1"/>
  <c r="O166" i="1" s="1"/>
  <c r="E181" i="1"/>
  <c r="O13" i="4"/>
  <c r="T13" i="4" s="1"/>
  <c r="D21" i="1"/>
  <c r="D44" i="5"/>
  <c r="P12" i="4"/>
  <c r="S12" i="4" s="1"/>
  <c r="T12" i="4" s="1"/>
  <c r="P11" i="4"/>
  <c r="S9" i="4"/>
  <c r="T9" i="4" s="1"/>
  <c r="G15" i="9"/>
  <c r="J15" i="9" s="1"/>
  <c r="Q15" i="9"/>
  <c r="Q9" i="9"/>
  <c r="Q11" i="9"/>
  <c r="L8" i="5"/>
  <c r="J9" i="5" s="1"/>
  <c r="H8" i="5"/>
  <c r="H9" i="5" s="1"/>
  <c r="P8" i="5"/>
  <c r="P9" i="5" s="1"/>
  <c r="Q14" i="1" s="1"/>
  <c r="P8" i="4"/>
  <c r="O14" i="4"/>
  <c r="K8" i="4"/>
  <c r="I14" i="4"/>
  <c r="J8" i="4"/>
  <c r="K12" i="4"/>
  <c r="J12" i="4"/>
  <c r="J9" i="4"/>
  <c r="K9" i="4"/>
  <c r="J13" i="4"/>
  <c r="K13" i="4"/>
  <c r="K10" i="4"/>
  <c r="J10" i="4"/>
  <c r="J11" i="4"/>
  <c r="R16" i="3"/>
  <c r="P16" i="3"/>
  <c r="U14" i="3"/>
  <c r="U10" i="3"/>
  <c r="U12" i="3"/>
  <c r="U8" i="3"/>
  <c r="L15" i="3"/>
  <c r="L13" i="3"/>
  <c r="L11" i="3"/>
  <c r="L9" i="3"/>
  <c r="L10" i="3"/>
  <c r="L12" i="3"/>
  <c r="L14" i="3"/>
  <c r="J16" i="3"/>
  <c r="L8" i="3"/>
  <c r="S12" i="2"/>
  <c r="S10" i="2"/>
  <c r="S8" i="2"/>
  <c r="I10" i="2"/>
  <c r="J10" i="2"/>
  <c r="J12" i="2"/>
  <c r="I12" i="2"/>
  <c r="J8" i="2"/>
  <c r="I8" i="2"/>
  <c r="H14" i="2"/>
  <c r="F13" i="8"/>
  <c r="E15" i="1" s="1"/>
  <c r="L167" i="1"/>
  <c r="L166" i="1"/>
  <c r="G145" i="1"/>
  <c r="K165" i="1"/>
  <c r="L165" i="1" s="1"/>
  <c r="G149" i="1"/>
  <c r="G147" i="1"/>
  <c r="J100" i="1"/>
  <c r="I100" i="1"/>
  <c r="J99" i="1"/>
  <c r="I99" i="1"/>
  <c r="H146" i="1"/>
  <c r="J146" i="1" s="1"/>
  <c r="J147" i="1"/>
  <c r="I147" i="1"/>
  <c r="H137" i="1"/>
  <c r="J136" i="1"/>
  <c r="I136" i="1"/>
  <c r="O158" i="1"/>
  <c r="J170" i="1"/>
  <c r="I170" i="1"/>
  <c r="K169" i="1"/>
  <c r="L169" i="1" s="1"/>
  <c r="K168" i="1"/>
  <c r="L168" i="1" s="1"/>
  <c r="H150" i="1"/>
  <c r="I150" i="1" s="1"/>
  <c r="I149" i="1"/>
  <c r="J149" i="1"/>
  <c r="H148" i="1"/>
  <c r="I148" i="1" s="1"/>
  <c r="I145" i="1"/>
  <c r="J145" i="1"/>
  <c r="J110" i="1"/>
  <c r="I110" i="1"/>
  <c r="J109" i="1"/>
  <c r="I109" i="1"/>
  <c r="H90" i="1"/>
  <c r="H114" i="1"/>
  <c r="J108" i="1"/>
  <c r="I108" i="1"/>
  <c r="J111" i="1"/>
  <c r="I111" i="1"/>
  <c r="J112" i="1"/>
  <c r="I112" i="1"/>
  <c r="J113" i="1"/>
  <c r="I113" i="1"/>
  <c r="J98" i="1"/>
  <c r="I98" i="1"/>
  <c r="J97" i="1"/>
  <c r="H101" i="1"/>
  <c r="I97" i="1"/>
  <c r="J89" i="1"/>
  <c r="I89" i="1"/>
  <c r="I90" i="1" s="1"/>
  <c r="E176" i="1" s="1"/>
  <c r="J88" i="1"/>
  <c r="E183" i="1" l="1"/>
  <c r="E184" i="1" s="1"/>
  <c r="E185" i="1" s="1"/>
  <c r="E186" i="1" s="1"/>
  <c r="S11" i="4"/>
  <c r="T11" i="4" s="1"/>
  <c r="S8" i="4"/>
  <c r="T8" i="4" s="1"/>
  <c r="Q18" i="1"/>
  <c r="F15" i="1"/>
  <c r="F31" i="1" s="1"/>
  <c r="E31" i="1"/>
  <c r="D32" i="7"/>
  <c r="D23" i="1"/>
  <c r="F21" i="1"/>
  <c r="F37" i="1" s="1"/>
  <c r="D37" i="1"/>
  <c r="I156" i="1"/>
  <c r="D176" i="1"/>
  <c r="F176" i="1"/>
  <c r="H175" i="1"/>
  <c r="C21" i="2"/>
  <c r="E16" i="1" s="1"/>
  <c r="E32" i="1" s="1"/>
  <c r="D22" i="3"/>
  <c r="I14" i="9"/>
  <c r="J14" i="9" s="1"/>
  <c r="Q16" i="9"/>
  <c r="K6" i="9" s="1"/>
  <c r="D12" i="5"/>
  <c r="I19" i="1"/>
  <c r="K19" i="1"/>
  <c r="D13" i="5"/>
  <c r="L9" i="5"/>
  <c r="Q16" i="1" s="1"/>
  <c r="N9" i="5"/>
  <c r="Q8" i="5"/>
  <c r="J19" i="1" s="1"/>
  <c r="J14" i="4"/>
  <c r="K14" i="4"/>
  <c r="U16" i="3"/>
  <c r="J17" i="1" s="1"/>
  <c r="L16" i="3"/>
  <c r="K16" i="3"/>
  <c r="J14" i="2"/>
  <c r="S14" i="2"/>
  <c r="I14" i="2"/>
  <c r="K88" i="1"/>
  <c r="K90" i="1" s="1"/>
  <c r="I176" i="1" s="1"/>
  <c r="K145" i="1"/>
  <c r="K147" i="1"/>
  <c r="G151" i="1"/>
  <c r="L170" i="1"/>
  <c r="I182" i="1" s="1"/>
  <c r="H182" i="1" s="1"/>
  <c r="K100" i="1"/>
  <c r="K108" i="1"/>
  <c r="K114" i="1" s="1"/>
  <c r="I177" i="1" s="1"/>
  <c r="H177" i="1" s="1"/>
  <c r="K99" i="1"/>
  <c r="I146" i="1"/>
  <c r="K146" i="1" s="1"/>
  <c r="K136" i="1"/>
  <c r="K137" i="1" s="1"/>
  <c r="I178" i="1" s="1"/>
  <c r="H178" i="1" s="1"/>
  <c r="K97" i="1"/>
  <c r="K98" i="1"/>
  <c r="I137" i="1"/>
  <c r="J137" i="1"/>
  <c r="K170" i="1"/>
  <c r="J150" i="1"/>
  <c r="H151" i="1"/>
  <c r="J148" i="1"/>
  <c r="I114" i="1"/>
  <c r="J114" i="1"/>
  <c r="I101" i="1"/>
  <c r="J101" i="1"/>
  <c r="J90" i="1"/>
  <c r="G176" i="1" s="1"/>
  <c r="G183" i="1" s="1"/>
  <c r="G184" i="1" s="1"/>
  <c r="G185" i="1" s="1"/>
  <c r="G186" i="1" s="1"/>
  <c r="T14" i="4" l="1"/>
  <c r="J18" i="1" s="1"/>
  <c r="Q14" i="4"/>
  <c r="D20" i="4" s="1"/>
  <c r="D39" i="1"/>
  <c r="F23" i="1"/>
  <c r="F39" i="1" s="1"/>
  <c r="H176" i="1"/>
  <c r="D18" i="4"/>
  <c r="I18" i="1"/>
  <c r="D19" i="4"/>
  <c r="K18" i="1"/>
  <c r="D20" i="3"/>
  <c r="I17" i="1"/>
  <c r="D21" i="3"/>
  <c r="K17" i="1"/>
  <c r="G16" i="9"/>
  <c r="M16" i="9"/>
  <c r="M6" i="9"/>
  <c r="M9" i="9" s="1"/>
  <c r="K20" i="1" s="1"/>
  <c r="L6" i="9"/>
  <c r="L9" i="9" s="1"/>
  <c r="I20" i="1" s="1"/>
  <c r="D14" i="5"/>
  <c r="D16" i="5" s="1"/>
  <c r="K16" i="1"/>
  <c r="C19" i="2"/>
  <c r="J16" i="1"/>
  <c r="C20" i="2"/>
  <c r="I16" i="1"/>
  <c r="C18" i="2"/>
  <c r="K151" i="1"/>
  <c r="I180" i="1" s="1"/>
  <c r="H180" i="1" s="1"/>
  <c r="K101" i="1"/>
  <c r="I179" i="1" s="1"/>
  <c r="H179" i="1" s="1"/>
  <c r="I151" i="1"/>
  <c r="J156" i="1"/>
  <c r="J159" i="1" s="1"/>
  <c r="K156" i="1"/>
  <c r="J151" i="1"/>
  <c r="Q15" i="1" l="1"/>
  <c r="Q17" i="1"/>
  <c r="J20" i="1"/>
  <c r="J24" i="1" s="1"/>
  <c r="D23" i="9"/>
  <c r="E20" i="1" s="1"/>
  <c r="D18" i="1"/>
  <c r="D24" i="3"/>
  <c r="D22" i="4"/>
  <c r="D17" i="1"/>
  <c r="D19" i="1"/>
  <c r="K24" i="1"/>
  <c r="K26" i="1" s="1"/>
  <c r="D22" i="9"/>
  <c r="D20" i="9"/>
  <c r="I24" i="1"/>
  <c r="I26" i="1" s="1"/>
  <c r="D21" i="9"/>
  <c r="D16" i="1"/>
  <c r="D32" i="1" s="1"/>
  <c r="C22" i="2"/>
  <c r="K159" i="1"/>
  <c r="M156" i="1"/>
  <c r="J26" i="1" l="1"/>
  <c r="H26" i="1" s="1"/>
  <c r="E24" i="1"/>
  <c r="E40" i="1" s="1"/>
  <c r="E36" i="1"/>
  <c r="F19" i="1"/>
  <c r="F35" i="1" s="1"/>
  <c r="D35" i="1"/>
  <c r="F17" i="1"/>
  <c r="D33" i="1"/>
  <c r="F18" i="1"/>
  <c r="F34" i="1" s="1"/>
  <c r="D34" i="1"/>
  <c r="D20" i="1"/>
  <c r="M159" i="1"/>
  <c r="I181" i="1"/>
  <c r="D24" i="9"/>
  <c r="F16" i="1"/>
  <c r="F32" i="1" s="1"/>
  <c r="F33" i="1" l="1"/>
  <c r="F20" i="1"/>
  <c r="F36" i="1" s="1"/>
  <c r="D36" i="1"/>
  <c r="H181" i="1"/>
  <c r="I183" i="1"/>
  <c r="D24" i="1"/>
  <c r="D40" i="1" s="1"/>
  <c r="F24" i="1" l="1"/>
  <c r="F40" i="1" s="1"/>
  <c r="I184" i="1"/>
  <c r="H183" i="1"/>
  <c r="H184" i="1" l="1"/>
  <c r="I185" i="1"/>
  <c r="I186" i="1" l="1"/>
  <c r="H185" i="1"/>
  <c r="H186" i="1" s="1"/>
</calcChain>
</file>

<file path=xl/sharedStrings.xml><?xml version="1.0" encoding="utf-8"?>
<sst xmlns="http://schemas.openxmlformats.org/spreadsheetml/2006/main" count="756" uniqueCount="220">
  <si>
    <t>القواعد</t>
  </si>
  <si>
    <t>الأبعاد</t>
  </si>
  <si>
    <t>الطول</t>
  </si>
  <si>
    <t>العرض</t>
  </si>
  <si>
    <t>السماكة</t>
  </si>
  <si>
    <t>عدد القواعد</t>
  </si>
  <si>
    <t>حجم القاعدة</t>
  </si>
  <si>
    <t>الحجم الكلي</t>
  </si>
  <si>
    <t>بحص + رمل</t>
  </si>
  <si>
    <t>الأعمدة</t>
  </si>
  <si>
    <t>حجم العامود</t>
  </si>
  <si>
    <t>عدد الاعمدة</t>
  </si>
  <si>
    <t>الشيناجات</t>
  </si>
  <si>
    <t>الكلفة التقديرية</t>
  </si>
  <si>
    <t>الإجمالي</t>
  </si>
  <si>
    <t>الارتفاع</t>
  </si>
  <si>
    <t>حجم الشيناج</t>
  </si>
  <si>
    <t>عدد الشيناجات</t>
  </si>
  <si>
    <t>البلاطات</t>
  </si>
  <si>
    <t>حجم البلاطة</t>
  </si>
  <si>
    <t>حجم البلوك</t>
  </si>
  <si>
    <t>حجم الخرسانة</t>
  </si>
  <si>
    <t>البلوك</t>
  </si>
  <si>
    <t>طول الجدار</t>
  </si>
  <si>
    <t>ارتفاع الجدار</t>
  </si>
  <si>
    <t>سماكة الجدار</t>
  </si>
  <si>
    <t>كمية البلوك اللازمة</t>
  </si>
  <si>
    <t>سماكة البلوكة</t>
  </si>
  <si>
    <t>عدد الأبواب</t>
  </si>
  <si>
    <t>عدد الشبابيك</t>
  </si>
  <si>
    <t>كمية الرمل اللازمة</t>
  </si>
  <si>
    <t>-</t>
  </si>
  <si>
    <t>cm</t>
  </si>
  <si>
    <t>m</t>
  </si>
  <si>
    <t>m3</t>
  </si>
  <si>
    <t>n</t>
  </si>
  <si>
    <t>ton</t>
  </si>
  <si>
    <t>$</t>
  </si>
  <si>
    <t>الحفر</t>
  </si>
  <si>
    <t>عمق الحفر</t>
  </si>
  <si>
    <t>سعر  طن الحديد</t>
  </si>
  <si>
    <t>سعر متر الرمل + البحص</t>
  </si>
  <si>
    <t>سعر طن الاسمنت</t>
  </si>
  <si>
    <t>سعر بلوكة الهوردي</t>
  </si>
  <si>
    <t>الدرج</t>
  </si>
  <si>
    <t>الميدة</t>
  </si>
  <si>
    <t>طول</t>
  </si>
  <si>
    <t>عرض</t>
  </si>
  <si>
    <t>سماكة</t>
  </si>
  <si>
    <t>الدرجة</t>
  </si>
  <si>
    <t>قائمة</t>
  </si>
  <si>
    <t>نائمة</t>
  </si>
  <si>
    <t>الشاحط</t>
  </si>
  <si>
    <t>حجم الدرج</t>
  </si>
  <si>
    <t>كمية البحص والرمل</t>
  </si>
  <si>
    <t>عدد الدرجات</t>
  </si>
  <si>
    <t>الكلفة الاجمالية</t>
  </si>
  <si>
    <t>القيمة الاجمالية</t>
  </si>
  <si>
    <t>عدد الطوابق</t>
  </si>
  <si>
    <t>الأرضية</t>
  </si>
  <si>
    <t>حجم الأرضية</t>
  </si>
  <si>
    <t>عدد الارضيات</t>
  </si>
  <si>
    <t>ربح</t>
  </si>
  <si>
    <t>تكاليف غير مباشرة</t>
  </si>
  <si>
    <t>اجمالي الكلفة</t>
  </si>
  <si>
    <t>الطابق</t>
  </si>
  <si>
    <t>الأرضي</t>
  </si>
  <si>
    <t>الأول</t>
  </si>
  <si>
    <t>الثاني</t>
  </si>
  <si>
    <t>التصوينة</t>
  </si>
  <si>
    <t>بيت الدرج</t>
  </si>
  <si>
    <t>15 + 10</t>
  </si>
  <si>
    <t>الحفر + الردم</t>
  </si>
  <si>
    <t>سعر بلوكة البناء</t>
  </si>
  <si>
    <t>كلفة المواد</t>
  </si>
  <si>
    <t>كلفة التنفيذ</t>
  </si>
  <si>
    <t>اسمنت</t>
  </si>
  <si>
    <t>حديد</t>
  </si>
  <si>
    <t>رمل / بحص</t>
  </si>
  <si>
    <t>كلفة المواد الاجمالية</t>
  </si>
  <si>
    <t>كمية الاسمنت اللازمة</t>
  </si>
  <si>
    <t>البند</t>
  </si>
  <si>
    <t>الترحيل</t>
  </si>
  <si>
    <t>التنظيف</t>
  </si>
  <si>
    <t>متوسط عمق الحفر</t>
  </si>
  <si>
    <t>البيتون</t>
  </si>
  <si>
    <t>الحديد</t>
  </si>
  <si>
    <t>القاعدة</t>
  </si>
  <si>
    <t>F1</t>
  </si>
  <si>
    <t>F2</t>
  </si>
  <si>
    <t>F3</t>
  </si>
  <si>
    <t>التسليح الرئيسي</t>
  </si>
  <si>
    <t>عدد الاسياخ</t>
  </si>
  <si>
    <t>طول السيخ</t>
  </si>
  <si>
    <t>القطر</t>
  </si>
  <si>
    <t>كمية التسليح</t>
  </si>
  <si>
    <t>mm</t>
  </si>
  <si>
    <t>kg</t>
  </si>
  <si>
    <t>اجمالي كمية التسليح</t>
  </si>
  <si>
    <t>التسليح الثانوي</t>
  </si>
  <si>
    <t>الكلفة التفصيلية</t>
  </si>
  <si>
    <t>الردم قبل الشيناج</t>
  </si>
  <si>
    <t>الردم بعد الشيناج</t>
  </si>
  <si>
    <t>كمية الحفر</t>
  </si>
  <si>
    <t>عدد ساعات الردم قبل الشيناج</t>
  </si>
  <si>
    <t>كمية الردم اللازمة بعد الشيناج</t>
  </si>
  <si>
    <t>عدد ساعات الردم بعد الشيناج</t>
  </si>
  <si>
    <t>الأجور</t>
  </si>
  <si>
    <t>متر الحفر</t>
  </si>
  <si>
    <t>تنظيف القاعدة</t>
  </si>
  <si>
    <t>ترحيل القاعدة</t>
  </si>
  <si>
    <t>ساعة الردم</t>
  </si>
  <si>
    <t>متر الردم</t>
  </si>
  <si>
    <t>أسعار المواد</t>
  </si>
  <si>
    <t>أجور التنفيذ</t>
  </si>
  <si>
    <t>6 mm</t>
  </si>
  <si>
    <t>سعر متر رمل البناء</t>
  </si>
  <si>
    <t>8 + 10 mm</t>
  </si>
  <si>
    <t>12 + 14 mm</t>
  </si>
  <si>
    <t>النجار</t>
  </si>
  <si>
    <t xml:space="preserve">متر مكعب </t>
  </si>
  <si>
    <t>متر طولي</t>
  </si>
  <si>
    <t>عامود</t>
  </si>
  <si>
    <t>درج</t>
  </si>
  <si>
    <t>الصب</t>
  </si>
  <si>
    <t>الشيناج</t>
  </si>
  <si>
    <t>السطح</t>
  </si>
  <si>
    <t>العامود</t>
  </si>
  <si>
    <t>الطينة</t>
  </si>
  <si>
    <t>جدول الكميات الإجمالي</t>
  </si>
  <si>
    <t>الأسمنت</t>
  </si>
  <si>
    <t>البحص / الرمل</t>
  </si>
  <si>
    <t>بلوك الهوردي</t>
  </si>
  <si>
    <t>بلوك البناء</t>
  </si>
  <si>
    <t>رمل البناء</t>
  </si>
  <si>
    <t>بحص / رمل</t>
  </si>
  <si>
    <t>تنفيذ</t>
  </si>
  <si>
    <t>c1</t>
  </si>
  <si>
    <t>12 mm</t>
  </si>
  <si>
    <t>8 mm</t>
  </si>
  <si>
    <t>14 mm</t>
  </si>
  <si>
    <t>الجائز</t>
  </si>
  <si>
    <t>B1</t>
  </si>
  <si>
    <t>B2</t>
  </si>
  <si>
    <t>B3</t>
  </si>
  <si>
    <t>B4</t>
  </si>
  <si>
    <t>B5</t>
  </si>
  <si>
    <t>B6</t>
  </si>
  <si>
    <t>12mm</t>
  </si>
  <si>
    <t xml:space="preserve">10mm </t>
  </si>
  <si>
    <t>8mm</t>
  </si>
  <si>
    <t>6mm</t>
  </si>
  <si>
    <t>الشاحط الأول</t>
  </si>
  <si>
    <t>الشاحط الثاني</t>
  </si>
  <si>
    <t>طول  (m)</t>
  </si>
  <si>
    <t>عرض  (m)</t>
  </si>
  <si>
    <t>سماكة  (cm)</t>
  </si>
  <si>
    <t>قائمة  (cm)</t>
  </si>
  <si>
    <t>نائمة  (cm)</t>
  </si>
  <si>
    <t>تشاريك الشيناج</t>
  </si>
  <si>
    <t>العدد</t>
  </si>
  <si>
    <t>تسليح الشواحط</t>
  </si>
  <si>
    <t>تسليح الميدة</t>
  </si>
  <si>
    <t>الإجمالي للمبنى</t>
  </si>
  <si>
    <t>الإجمالي للطابق</t>
  </si>
  <si>
    <t>كمية البلوك</t>
  </si>
  <si>
    <t>العنصر</t>
  </si>
  <si>
    <t>عدد الأسياخ</t>
  </si>
  <si>
    <t>قطر السيخ</t>
  </si>
  <si>
    <t>اجمالي التسليح</t>
  </si>
  <si>
    <t>Kg</t>
  </si>
  <si>
    <t>البلاطة</t>
  </si>
  <si>
    <t>الأعصاب</t>
  </si>
  <si>
    <t>الأعصاب العريضة</t>
  </si>
  <si>
    <t>الجوائز</t>
  </si>
  <si>
    <t>14mm</t>
  </si>
  <si>
    <t>10mm</t>
  </si>
  <si>
    <t>هوردي</t>
  </si>
  <si>
    <t>10 mm</t>
  </si>
  <si>
    <t>نوع الجدار</t>
  </si>
  <si>
    <t>خارجي</t>
  </si>
  <si>
    <t>داخلي</t>
  </si>
  <si>
    <t>تصوينة</t>
  </si>
  <si>
    <t>الثالث</t>
  </si>
  <si>
    <t>السطح الأخير</t>
  </si>
  <si>
    <t xml:space="preserve">طول الجدار </t>
  </si>
  <si>
    <t xml:space="preserve">سماكة الجدار </t>
  </si>
  <si>
    <t>بلوك</t>
  </si>
  <si>
    <t>رمل</t>
  </si>
  <si>
    <t>تفاصيل كميات الحديد</t>
  </si>
  <si>
    <t>سعر الصرف</t>
  </si>
  <si>
    <t>جدول الكلفة الإجمالي   ل.س</t>
  </si>
  <si>
    <t>جدول الكلفة الإجمالي    $</t>
  </si>
  <si>
    <t>السقف</t>
  </si>
  <si>
    <t>سماكة الطينة</t>
  </si>
  <si>
    <t>خارجي / طينة</t>
  </si>
  <si>
    <t>خارجي / مكسى حجر</t>
  </si>
  <si>
    <t>A2</t>
  </si>
  <si>
    <t>D+W</t>
  </si>
  <si>
    <t>Anet</t>
  </si>
  <si>
    <t>V o</t>
  </si>
  <si>
    <t>V i</t>
  </si>
  <si>
    <t xml:space="preserve">Vci </t>
  </si>
  <si>
    <t>Vco</t>
  </si>
  <si>
    <t>Tvc</t>
  </si>
  <si>
    <t>Vri</t>
  </si>
  <si>
    <t>Vro</t>
  </si>
  <si>
    <t>Tvr</t>
  </si>
  <si>
    <t>تشاريك الحديد</t>
  </si>
  <si>
    <t>التشريكة</t>
  </si>
  <si>
    <t>عدد التشاريك</t>
  </si>
  <si>
    <t>طول القضيب</t>
  </si>
  <si>
    <t xml:space="preserve">عدد القطع ضمن الضيب </t>
  </si>
  <si>
    <t>الزيادات</t>
  </si>
  <si>
    <t>عدد القضبان اللازم</t>
  </si>
  <si>
    <t>الزيادة في كل قضيب</t>
  </si>
  <si>
    <t>قطر القضيب</t>
  </si>
  <si>
    <t>الارتفاع / العرض</t>
  </si>
  <si>
    <t>c2</t>
  </si>
  <si>
    <t>الوزن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</si>
</sst>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&quot;$&quot;#,##0"/>
    <numFmt numFmtId="167" formatCode="#,##0\ [$ل.س.‏-2801]"/>
  </numFmts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Arial"/>
      <family val="2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1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5" fontId="6" fillId="0" borderId="35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165" fontId="6" fillId="0" borderId="36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164" fontId="1" fillId="3" borderId="36" xfId="0" applyNumberFormat="1" applyFont="1" applyFill="1" applyBorder="1" applyAlignment="1">
      <alignment horizontal="center" vertical="center" wrapText="1"/>
    </xf>
    <xf numFmtId="164" fontId="1" fillId="3" borderId="37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 wrapText="1"/>
    </xf>
    <xf numFmtId="164" fontId="1" fillId="3" borderId="12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2" fontId="8" fillId="4" borderId="9" xfId="0" applyNumberFormat="1" applyFont="1" applyFill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2" fontId="1" fillId="0" borderId="36" xfId="0" applyNumberFormat="1" applyFont="1" applyBorder="1" applyAlignment="1">
      <alignment horizontal="center" vertical="center" wrapText="1"/>
    </xf>
    <xf numFmtId="164" fontId="1" fillId="3" borderId="22" xfId="0" applyNumberFormat="1" applyFont="1" applyFill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center" vertical="center"/>
    </xf>
    <xf numFmtId="2" fontId="1" fillId="3" borderId="36" xfId="0" applyNumberFormat="1" applyFont="1" applyFill="1" applyBorder="1" applyAlignment="1">
      <alignment horizontal="center" vertical="center" wrapText="1"/>
    </xf>
    <xf numFmtId="2" fontId="1" fillId="0" borderId="36" xfId="0" applyNumberFormat="1" applyFont="1" applyBorder="1" applyAlignment="1">
      <alignment horizontal="center" vertical="center"/>
    </xf>
    <xf numFmtId="2" fontId="8" fillId="4" borderId="3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4" borderId="35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165" fontId="12" fillId="4" borderId="36" xfId="0" applyNumberFormat="1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5" fillId="0" borderId="52" xfId="0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1" fillId="3" borderId="35" xfId="0" applyNumberFormat="1" applyFont="1" applyFill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36" xfId="0" applyNumberFormat="1" applyFont="1" applyBorder="1" applyAlignment="1">
      <alignment vertical="center" wrapText="1"/>
    </xf>
    <xf numFmtId="164" fontId="1" fillId="0" borderId="36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center" vertical="center" wrapText="1"/>
    </xf>
    <xf numFmtId="4" fontId="1" fillId="0" borderId="36" xfId="0" applyNumberFormat="1" applyFont="1" applyBorder="1" applyAlignment="1">
      <alignment horizontal="center" vertical="center" wrapText="1"/>
    </xf>
    <xf numFmtId="2" fontId="8" fillId="3" borderId="37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1" fontId="6" fillId="4" borderId="8" xfId="0" applyNumberFormat="1" applyFont="1" applyFill="1" applyBorder="1" applyAlignment="1">
      <alignment horizontal="center" vertical="center"/>
    </xf>
    <xf numFmtId="2" fontId="6" fillId="4" borderId="8" xfId="0" applyNumberFormat="1" applyFont="1" applyFill="1" applyBorder="1" applyAlignment="1">
      <alignment horizontal="center" vertical="center"/>
    </xf>
    <xf numFmtId="2" fontId="6" fillId="4" borderId="9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0" borderId="0" xfId="0" applyProtection="1">
      <protection locked="0"/>
    </xf>
    <xf numFmtId="0" fontId="13" fillId="4" borderId="59" xfId="0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3" fontId="1" fillId="0" borderId="6" xfId="0" applyNumberFormat="1" applyFont="1" applyBorder="1" applyAlignment="1" applyProtection="1">
      <alignment horizontal="center" vertical="center"/>
      <protection locked="0"/>
    </xf>
    <xf numFmtId="0" fontId="13" fillId="0" borderId="3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1" fillId="0" borderId="3" xfId="0" applyNumberFormat="1" applyFont="1" applyBorder="1" applyAlignment="1" applyProtection="1">
      <alignment horizontal="center" vertical="center"/>
      <protection locked="0"/>
    </xf>
    <xf numFmtId="3" fontId="1" fillId="0" borderId="3" xfId="0" applyNumberFormat="1" applyFont="1" applyBorder="1" applyAlignment="1" applyProtection="1">
      <alignment horizontal="center" vertical="center" wrapText="1"/>
      <protection locked="0"/>
    </xf>
    <xf numFmtId="0" fontId="1" fillId="0" borderId="35" xfId="0" applyFont="1" applyBorder="1" applyAlignment="1" applyProtection="1">
      <alignment horizontal="center" vertical="center" wrapText="1"/>
      <protection locked="0"/>
    </xf>
    <xf numFmtId="0" fontId="1" fillId="0" borderId="36" xfId="0" applyFont="1" applyBorder="1" applyAlignment="1" applyProtection="1">
      <alignment horizontal="center" vertical="center" wrapText="1"/>
      <protection locked="0"/>
    </xf>
    <xf numFmtId="0" fontId="1" fillId="0" borderId="36" xfId="0" applyFont="1" applyBorder="1" applyAlignment="1" applyProtection="1">
      <alignment horizontal="center" vertical="center"/>
      <protection locked="0"/>
    </xf>
    <xf numFmtId="3" fontId="1" fillId="0" borderId="37" xfId="0" applyNumberFormat="1" applyFont="1" applyBorder="1" applyAlignment="1" applyProtection="1">
      <alignment horizontal="center" vertical="center" wrapText="1"/>
      <protection locked="0"/>
    </xf>
    <xf numFmtId="3" fontId="1" fillId="0" borderId="37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1" fillId="3" borderId="10" xfId="0" applyFont="1" applyFill="1" applyBorder="1" applyAlignment="1" applyProtection="1">
      <alignment horizontal="center" vertical="center" wrapText="1"/>
      <protection locked="0"/>
    </xf>
    <xf numFmtId="0" fontId="1" fillId="4" borderId="7" xfId="0" applyFont="1" applyFill="1" applyBorder="1" applyAlignment="1" applyProtection="1">
      <alignment horizontal="center" vertical="center" wrapText="1"/>
      <protection locked="0"/>
    </xf>
    <xf numFmtId="0" fontId="11" fillId="4" borderId="7" xfId="0" applyFont="1" applyFill="1" applyBorder="1" applyAlignment="1" applyProtection="1">
      <alignment horizontal="center" vertical="center" wrapText="1"/>
      <protection locked="0"/>
    </xf>
    <xf numFmtId="166" fontId="1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 applyProtection="1">
      <alignment horizontal="center" vertical="center" wrapText="1"/>
      <protection locked="0"/>
    </xf>
    <xf numFmtId="164" fontId="1" fillId="0" borderId="8" xfId="0" applyNumberFormat="1" applyFont="1" applyBorder="1" applyAlignment="1" applyProtection="1">
      <alignment horizontal="center" vertical="center" wrapText="1"/>
      <protection locked="0"/>
    </xf>
    <xf numFmtId="164" fontId="1" fillId="0" borderId="4" xfId="0" applyNumberFormat="1" applyFont="1" applyBorder="1" applyAlignment="1" applyProtection="1">
      <alignment horizontal="center" vertical="center" wrapText="1"/>
      <protection locked="0"/>
    </xf>
    <xf numFmtId="164" fontId="1" fillId="0" borderId="5" xfId="0" applyNumberFormat="1" applyFont="1" applyBorder="1" applyAlignment="1" applyProtection="1">
      <alignment horizontal="center" vertical="center" wrapText="1"/>
      <protection locked="0"/>
    </xf>
    <xf numFmtId="164" fontId="1" fillId="0" borderId="6" xfId="0" applyNumberFormat="1" applyFont="1" applyBorder="1" applyAlignment="1" applyProtection="1">
      <alignment horizontal="center" vertical="center" wrapText="1"/>
      <protection locked="0"/>
    </xf>
    <xf numFmtId="164" fontId="1" fillId="0" borderId="2" xfId="0" applyNumberFormat="1" applyFont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164" fontId="1" fillId="0" borderId="3" xfId="0" applyNumberFormat="1" applyFont="1" applyBorder="1" applyAlignment="1" applyProtection="1">
      <alignment horizontal="center" vertical="center" wrapText="1"/>
      <protection locked="0"/>
    </xf>
    <xf numFmtId="164" fontId="1" fillId="0" borderId="12" xfId="0" applyNumberFormat="1" applyFont="1" applyBorder="1" applyAlignment="1" applyProtection="1">
      <alignment horizontal="center" vertical="center" wrapText="1"/>
      <protection locked="0"/>
    </xf>
    <xf numFmtId="164" fontId="1" fillId="0" borderId="10" xfId="0" applyNumberFormat="1" applyFont="1" applyBorder="1" applyAlignment="1" applyProtection="1">
      <alignment horizontal="center" vertical="center" wrapText="1"/>
      <protection locked="0"/>
    </xf>
    <xf numFmtId="164" fontId="1" fillId="0" borderId="11" xfId="0" applyNumberFormat="1" applyFont="1" applyBorder="1" applyAlignment="1" applyProtection="1">
      <alignment horizontal="center" vertical="center" wrapText="1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3" fontId="2" fillId="0" borderId="9" xfId="0" applyNumberFormat="1" applyFont="1" applyBorder="1" applyAlignment="1" applyProtection="1">
      <alignment horizontal="center" vertical="center"/>
      <protection locked="0"/>
    </xf>
    <xf numFmtId="4" fontId="1" fillId="0" borderId="2" xfId="0" applyNumberFormat="1" applyFont="1" applyBorder="1" applyAlignment="1" applyProtection="1">
      <alignment horizontal="center" vertical="center" wrapText="1"/>
      <protection locked="0"/>
    </xf>
    <xf numFmtId="4" fontId="1" fillId="0" borderId="1" xfId="0" applyNumberFormat="1" applyFont="1" applyBorder="1" applyAlignment="1" applyProtection="1">
      <alignment horizontal="center" vertical="center" wrapText="1"/>
      <protection locked="0"/>
    </xf>
    <xf numFmtId="4" fontId="1" fillId="0" borderId="10" xfId="0" applyNumberFormat="1" applyFont="1" applyBorder="1" applyAlignment="1" applyProtection="1">
      <alignment horizontal="center" vertical="center" wrapText="1"/>
      <protection locked="0"/>
    </xf>
    <xf numFmtId="4" fontId="1" fillId="0" borderId="11" xfId="0" applyNumberFormat="1" applyFont="1" applyBorder="1" applyAlignment="1" applyProtection="1">
      <alignment horizontal="center" vertical="center" wrapText="1"/>
      <protection locked="0"/>
    </xf>
    <xf numFmtId="164" fontId="2" fillId="0" borderId="8" xfId="0" applyNumberFormat="1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1" fillId="0" borderId="31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165" fontId="4" fillId="0" borderId="8" xfId="0" applyNumberFormat="1" applyFont="1" applyBorder="1" applyAlignment="1" applyProtection="1">
      <alignment horizontal="center" vertical="center"/>
      <protection locked="0"/>
    </xf>
    <xf numFmtId="0" fontId="5" fillId="0" borderId="9" xfId="0" applyFont="1" applyBorder="1" applyProtection="1"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28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2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37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locked="0"/>
    </xf>
    <xf numFmtId="0" fontId="1" fillId="0" borderId="33" xfId="0" applyFont="1" applyBorder="1" applyAlignment="1" applyProtection="1">
      <alignment horizontal="center" vertical="center" wrapText="1"/>
      <protection locked="0"/>
    </xf>
    <xf numFmtId="3" fontId="1" fillId="0" borderId="6" xfId="0" applyNumberFormat="1" applyFont="1" applyBorder="1" applyAlignment="1" applyProtection="1">
      <alignment horizontal="center" vertical="center" wrapText="1"/>
      <protection locked="0"/>
    </xf>
    <xf numFmtId="3" fontId="1" fillId="0" borderId="44" xfId="0" applyNumberFormat="1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41" xfId="0" applyFont="1" applyBorder="1" applyAlignment="1" applyProtection="1">
      <alignment horizontal="center" vertical="center" wrapText="1"/>
      <protection locked="0"/>
    </xf>
    <xf numFmtId="3" fontId="1" fillId="0" borderId="45" xfId="0" applyNumberFormat="1" applyFont="1" applyBorder="1" applyAlignment="1" applyProtection="1">
      <alignment horizontal="center" vertical="center" wrapText="1"/>
      <protection locked="0"/>
    </xf>
    <xf numFmtId="0" fontId="1" fillId="3" borderId="25" xfId="0" applyFont="1" applyFill="1" applyBorder="1" applyAlignment="1" applyProtection="1">
      <alignment horizontal="center" vertical="center" wrapText="1"/>
      <protection locked="0"/>
    </xf>
    <xf numFmtId="0" fontId="1" fillId="3" borderId="41" xfId="0" applyFont="1" applyFill="1" applyBorder="1" applyAlignment="1" applyProtection="1">
      <alignment horizontal="center" vertical="center" wrapText="1"/>
      <protection locked="0"/>
    </xf>
    <xf numFmtId="164" fontId="1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1" fillId="3" borderId="45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38" xfId="0" applyFont="1" applyFill="1" applyBorder="1" applyAlignment="1" applyProtection="1">
      <alignment horizontal="center" vertical="center" wrapText="1"/>
      <protection locked="0"/>
    </xf>
    <xf numFmtId="0" fontId="1" fillId="4" borderId="40" xfId="0" applyFont="1" applyFill="1" applyBorder="1" applyAlignment="1" applyProtection="1">
      <alignment horizontal="center" vertical="center" wrapText="1"/>
      <protection locked="0"/>
    </xf>
    <xf numFmtId="3" fontId="1" fillId="4" borderId="35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36" xfId="0" applyFont="1" applyFill="1" applyBorder="1" applyAlignment="1" applyProtection="1">
      <alignment horizontal="center" vertical="center" wrapText="1"/>
      <protection locked="0"/>
    </xf>
    <xf numFmtId="3" fontId="1" fillId="4" borderId="36" xfId="0" applyNumberFormat="1" applyFont="1" applyFill="1" applyBorder="1" applyAlignment="1" applyProtection="1">
      <alignment horizontal="center" vertical="center" wrapText="1"/>
      <protection locked="0"/>
    </xf>
    <xf numFmtId="3" fontId="1" fillId="4" borderId="37" xfId="0" applyNumberFormat="1" applyFont="1" applyFill="1" applyBorder="1" applyAlignment="1" applyProtection="1">
      <alignment horizontal="center" vertical="center" wrapText="1"/>
      <protection locked="0"/>
    </xf>
    <xf numFmtId="3" fontId="1" fillId="4" borderId="43" xfId="0" applyNumberFormat="1" applyFont="1" applyFill="1" applyBorder="1" applyAlignment="1" applyProtection="1">
      <alignment horizontal="center" vertical="center" wrapText="1"/>
      <protection locked="0"/>
    </xf>
    <xf numFmtId="2" fontId="1" fillId="4" borderId="3" xfId="0" applyNumberFormat="1" applyFont="1" applyFill="1" applyBorder="1" applyAlignment="1">
      <alignment horizontal="center" vertical="center" wrapText="1"/>
    </xf>
    <xf numFmtId="2" fontId="1" fillId="4" borderId="37" xfId="0" applyNumberFormat="1" applyFont="1" applyFill="1" applyBorder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/>
    </xf>
    <xf numFmtId="2" fontId="1" fillId="4" borderId="17" xfId="0" applyNumberFormat="1" applyFont="1" applyFill="1" applyBorder="1" applyAlignment="1">
      <alignment horizontal="center" vertical="center"/>
    </xf>
    <xf numFmtId="3" fontId="1" fillId="4" borderId="6" xfId="0" applyNumberFormat="1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 wrapText="1"/>
    </xf>
    <xf numFmtId="166" fontId="1" fillId="0" borderId="12" xfId="0" applyNumberFormat="1" applyFont="1" applyBorder="1" applyAlignment="1">
      <alignment horizontal="center" vertical="center"/>
    </xf>
    <xf numFmtId="166" fontId="1" fillId="4" borderId="8" xfId="0" applyNumberFormat="1" applyFont="1" applyFill="1" applyBorder="1" applyAlignment="1">
      <alignment horizontal="center" vertical="center"/>
    </xf>
    <xf numFmtId="166" fontId="1" fillId="4" borderId="9" xfId="0" applyNumberFormat="1" applyFont="1" applyFill="1" applyBorder="1" applyAlignment="1">
      <alignment horizontal="center" vertical="center"/>
    </xf>
    <xf numFmtId="166" fontId="8" fillId="4" borderId="58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165" fontId="1" fillId="0" borderId="11" xfId="0" applyNumberFormat="1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 wrapText="1"/>
    </xf>
    <xf numFmtId="165" fontId="11" fillId="4" borderId="8" xfId="0" applyNumberFormat="1" applyFont="1" applyFill="1" applyBorder="1" applyAlignment="1">
      <alignment horizontal="center" vertical="center" wrapText="1"/>
    </xf>
    <xf numFmtId="165" fontId="11" fillId="4" borderId="9" xfId="0" applyNumberFormat="1" applyFont="1" applyFill="1" applyBorder="1" applyAlignment="1">
      <alignment horizontal="center" vertical="center" wrapText="1"/>
    </xf>
    <xf numFmtId="166" fontId="11" fillId="0" borderId="58" xfId="0" applyNumberFormat="1" applyFont="1" applyBorder="1" applyAlignment="1">
      <alignment horizontal="center" vertical="center" wrapText="1"/>
    </xf>
    <xf numFmtId="166" fontId="1" fillId="0" borderId="24" xfId="0" applyNumberFormat="1" applyFont="1" applyBorder="1" applyAlignment="1">
      <alignment horizontal="center" vertical="center" wrapText="1"/>
    </xf>
    <xf numFmtId="166" fontId="1" fillId="0" borderId="8" xfId="0" applyNumberFormat="1" applyFont="1" applyBorder="1" applyAlignment="1">
      <alignment horizontal="center" vertical="center" wrapText="1"/>
    </xf>
    <xf numFmtId="166" fontId="1" fillId="0" borderId="9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5" fontId="2" fillId="0" borderId="37" xfId="0" applyNumberFormat="1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167" fontId="1" fillId="0" borderId="11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 wrapText="1"/>
    </xf>
    <xf numFmtId="167" fontId="1" fillId="0" borderId="12" xfId="0" applyNumberFormat="1" applyFont="1" applyBorder="1" applyAlignment="1">
      <alignment horizontal="center" vertical="center" wrapText="1"/>
    </xf>
    <xf numFmtId="167" fontId="11" fillId="4" borderId="8" xfId="0" applyNumberFormat="1" applyFont="1" applyFill="1" applyBorder="1" applyAlignment="1">
      <alignment horizontal="center" vertical="center"/>
    </xf>
    <xf numFmtId="167" fontId="11" fillId="4" borderId="8" xfId="0" applyNumberFormat="1" applyFont="1" applyFill="1" applyBorder="1" applyAlignment="1">
      <alignment horizontal="center" vertical="center" wrapText="1"/>
    </xf>
    <xf numFmtId="167" fontId="11" fillId="4" borderId="9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6" fillId="0" borderId="1" xfId="0" applyNumberFormat="1" applyFont="1" applyBorder="1" applyAlignment="1">
      <alignment horizontal="center" vertical="center"/>
    </xf>
    <xf numFmtId="165" fontId="0" fillId="0" borderId="0" xfId="0" applyNumberForma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 applyProtection="1">
      <alignment horizontal="center" vertical="center" wrapText="1"/>
      <protection locked="0"/>
    </xf>
    <xf numFmtId="1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3" borderId="56" xfId="0" applyFont="1" applyFill="1" applyBorder="1" applyAlignment="1" applyProtection="1">
      <alignment horizontal="center" vertical="center" wrapText="1"/>
      <protection locked="0"/>
    </xf>
    <xf numFmtId="165" fontId="1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16" xfId="0" applyFont="1" applyFill="1" applyBorder="1" applyAlignment="1" applyProtection="1">
      <alignment horizontal="center" vertical="center" wrapText="1"/>
      <protection locked="0"/>
    </xf>
    <xf numFmtId="2" fontId="1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 applyProtection="1">
      <alignment horizontal="center" vertical="center"/>
      <protection locked="0"/>
    </xf>
    <xf numFmtId="0" fontId="1" fillId="3" borderId="3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5" fontId="1" fillId="6" borderId="1" xfId="0" applyNumberFormat="1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165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165" fontId="1" fillId="7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7" borderId="1" xfId="0" applyNumberFormat="1" applyFont="1" applyFill="1" applyBorder="1" applyAlignment="1" applyProtection="1">
      <alignment horizontal="center" vertical="center" wrapText="1"/>
      <protection locked="0"/>
    </xf>
    <xf numFmtId="165" fontId="1" fillId="7" borderId="1" xfId="0" applyNumberFormat="1" applyFont="1" applyFill="1" applyBorder="1" applyAlignment="1" applyProtection="1">
      <alignment horizontal="center" vertical="center"/>
      <protection locked="0"/>
    </xf>
    <xf numFmtId="2" fontId="1" fillId="6" borderId="1" xfId="0" applyNumberFormat="1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165" fontId="1" fillId="8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8" borderId="1" xfId="0" applyNumberFormat="1" applyFont="1" applyFill="1" applyBorder="1" applyAlignment="1" applyProtection="1">
      <alignment horizontal="center" vertical="center" wrapText="1"/>
      <protection locked="0"/>
    </xf>
    <xf numFmtId="165" fontId="1" fillId="8" borderId="1" xfId="0" applyNumberFormat="1" applyFont="1" applyFill="1" applyBorder="1" applyAlignment="1" applyProtection="1">
      <alignment horizontal="center" vertical="center"/>
      <protection locked="0"/>
    </xf>
    <xf numFmtId="0" fontId="1" fillId="3" borderId="61" xfId="0" applyFont="1" applyFill="1" applyBorder="1" applyAlignment="1" applyProtection="1">
      <alignment horizontal="center" vertical="center" wrapText="1"/>
      <protection locked="0"/>
    </xf>
    <xf numFmtId="0" fontId="1" fillId="3" borderId="60" xfId="0" applyFont="1" applyFill="1" applyBorder="1" applyAlignment="1" applyProtection="1">
      <alignment horizontal="center" vertical="center" wrapText="1"/>
      <protection locked="0"/>
    </xf>
    <xf numFmtId="0" fontId="1" fillId="3" borderId="54" xfId="0" applyFont="1" applyFill="1" applyBorder="1" applyAlignment="1" applyProtection="1">
      <alignment horizontal="center" vertical="center" wrapText="1"/>
      <protection locked="0"/>
    </xf>
    <xf numFmtId="0" fontId="9" fillId="4" borderId="18" xfId="0" applyFont="1" applyFill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 applyProtection="1">
      <alignment horizontal="center" vertical="center"/>
      <protection locked="0"/>
    </xf>
    <xf numFmtId="0" fontId="9" fillId="4" borderId="20" xfId="0" applyFont="1" applyFill="1" applyBorder="1" applyAlignment="1" applyProtection="1">
      <alignment horizontal="center" vertical="center"/>
      <protection locked="0"/>
    </xf>
    <xf numFmtId="0" fontId="1" fillId="0" borderId="46" xfId="0" applyFont="1" applyBorder="1" applyAlignment="1" applyProtection="1">
      <alignment horizontal="center" vertical="center"/>
      <protection locked="0"/>
    </xf>
    <xf numFmtId="0" fontId="1" fillId="0" borderId="41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center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 applyProtection="1">
      <alignment horizontal="center" vertical="center" wrapText="1"/>
      <protection locked="0"/>
    </xf>
    <xf numFmtId="0" fontId="1" fillId="0" borderId="36" xfId="0" applyFont="1" applyBorder="1" applyAlignment="1" applyProtection="1">
      <alignment horizontal="center" vertical="center" wrapText="1"/>
      <protection locked="0"/>
    </xf>
    <xf numFmtId="0" fontId="8" fillId="4" borderId="7" xfId="0" applyFont="1" applyFill="1" applyBorder="1" applyAlignment="1" applyProtection="1">
      <alignment horizontal="center" vertical="center" wrapText="1"/>
      <protection locked="0"/>
    </xf>
    <xf numFmtId="0" fontId="8" fillId="4" borderId="8" xfId="0" applyFont="1" applyFill="1" applyBorder="1" applyAlignment="1" applyProtection="1">
      <alignment horizontal="center" vertical="center" wrapText="1"/>
      <protection locked="0"/>
    </xf>
    <xf numFmtId="0" fontId="8" fillId="4" borderId="9" xfId="0" applyFont="1" applyFill="1" applyBorder="1" applyAlignment="1" applyProtection="1">
      <alignment horizontal="center" vertical="center" wrapText="1"/>
      <protection locked="0"/>
    </xf>
    <xf numFmtId="0" fontId="8" fillId="4" borderId="24" xfId="0" applyFont="1" applyFill="1" applyBorder="1" applyAlignment="1" applyProtection="1">
      <alignment horizontal="center" vertical="center"/>
      <protection locked="0"/>
    </xf>
    <xf numFmtId="0" fontId="8" fillId="4" borderId="8" xfId="0" applyFont="1" applyFill="1" applyBorder="1" applyAlignment="1" applyProtection="1">
      <alignment horizontal="center" vertical="center"/>
      <protection locked="0"/>
    </xf>
    <xf numFmtId="0" fontId="8" fillId="4" borderId="9" xfId="0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9" fillId="4" borderId="7" xfId="0" applyFont="1" applyFill="1" applyBorder="1" applyAlignment="1" applyProtection="1">
      <alignment horizontal="center" vertical="center" wrapText="1"/>
      <protection locked="0"/>
    </xf>
    <xf numFmtId="0" fontId="9" fillId="4" borderId="9" xfId="0" applyFont="1" applyFill="1" applyBorder="1" applyAlignment="1" applyProtection="1">
      <alignment horizontal="center" vertical="center" wrapText="1"/>
      <protection locked="0"/>
    </xf>
    <xf numFmtId="164" fontId="1" fillId="0" borderId="5" xfId="0" applyNumberFormat="1" applyFont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164" fontId="1" fillId="0" borderId="7" xfId="0" applyNumberFormat="1" applyFont="1" applyBorder="1" applyAlignment="1" applyProtection="1">
      <alignment horizontal="center" vertical="center" wrapText="1"/>
      <protection locked="0"/>
    </xf>
    <xf numFmtId="164" fontId="1" fillId="0" borderId="8" xfId="0" applyNumberFormat="1" applyFont="1" applyBorder="1" applyAlignment="1" applyProtection="1">
      <alignment horizontal="center" vertical="center" wrapText="1"/>
      <protection locked="0"/>
    </xf>
    <xf numFmtId="164" fontId="1" fillId="0" borderId="9" xfId="0" applyNumberFormat="1" applyFont="1" applyBorder="1" applyAlignment="1" applyProtection="1">
      <alignment horizontal="center" vertical="center" wrapText="1"/>
      <protection locked="0"/>
    </xf>
    <xf numFmtId="164" fontId="1" fillId="0" borderId="6" xfId="0" applyNumberFormat="1" applyFont="1" applyBorder="1" applyAlignment="1" applyProtection="1">
      <alignment horizontal="center" vertical="center" wrapText="1"/>
      <protection locked="0"/>
    </xf>
    <xf numFmtId="164" fontId="1" fillId="0" borderId="3" xfId="0" applyNumberFormat="1" applyFont="1" applyBorder="1" applyAlignment="1" applyProtection="1">
      <alignment horizontal="center" vertical="center" wrapText="1"/>
      <protection locked="0"/>
    </xf>
    <xf numFmtId="0" fontId="7" fillId="4" borderId="7" xfId="0" applyFont="1" applyFill="1" applyBorder="1" applyAlignment="1" applyProtection="1">
      <alignment horizontal="center" vertical="center" wrapText="1"/>
      <protection locked="0"/>
    </xf>
    <xf numFmtId="0" fontId="7" fillId="4" borderId="8" xfId="0" applyFont="1" applyFill="1" applyBorder="1" applyAlignment="1" applyProtection="1">
      <alignment horizontal="center" vertical="center" wrapText="1"/>
      <protection locked="0"/>
    </xf>
    <xf numFmtId="0" fontId="7" fillId="4" borderId="9" xfId="0" applyFont="1" applyFill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164" fontId="1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164" fontId="3" fillId="0" borderId="12" xfId="0" applyNumberFormat="1" applyFont="1" applyBorder="1" applyAlignment="1" applyProtection="1">
      <alignment horizontal="center" vertical="center" wrapText="1"/>
      <protection locked="0"/>
    </xf>
    <xf numFmtId="164" fontId="3" fillId="0" borderId="16" xfId="0" applyNumberFormat="1" applyFont="1" applyBorder="1" applyAlignment="1" applyProtection="1">
      <alignment horizontal="center" vertical="center" wrapText="1"/>
      <protection locked="0"/>
    </xf>
    <xf numFmtId="164" fontId="3" fillId="0" borderId="17" xfId="0" applyNumberFormat="1" applyFont="1" applyBorder="1" applyAlignment="1" applyProtection="1">
      <alignment horizontal="center" vertical="center" wrapText="1"/>
      <protection locked="0"/>
    </xf>
    <xf numFmtId="164" fontId="3" fillId="0" borderId="11" xfId="0" applyNumberFormat="1" applyFont="1" applyBorder="1" applyAlignment="1" applyProtection="1">
      <alignment horizontal="center" vertical="center" wrapText="1"/>
      <protection locked="0"/>
    </xf>
    <xf numFmtId="164" fontId="3" fillId="0" borderId="13" xfId="0" applyNumberFormat="1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32" xfId="0" applyFont="1" applyBorder="1" applyAlignment="1" applyProtection="1">
      <alignment horizontal="center" vertical="center" wrapText="1"/>
      <protection locked="0"/>
    </xf>
    <xf numFmtId="0" fontId="7" fillId="4" borderId="18" xfId="0" applyFont="1" applyFill="1" applyBorder="1" applyAlignment="1" applyProtection="1">
      <alignment horizontal="center" vertical="center" wrapText="1"/>
      <protection locked="0"/>
    </xf>
    <xf numFmtId="0" fontId="7" fillId="4" borderId="19" xfId="0" applyFont="1" applyFill="1" applyBorder="1" applyAlignment="1" applyProtection="1">
      <alignment horizontal="center" vertical="center" wrapText="1"/>
      <protection locked="0"/>
    </xf>
    <xf numFmtId="0" fontId="7" fillId="4" borderId="20" xfId="0" applyFont="1" applyFill="1" applyBorder="1" applyAlignment="1" applyProtection="1">
      <alignment horizontal="center" vertical="center" wrapText="1"/>
      <protection locked="0"/>
    </xf>
    <xf numFmtId="0" fontId="1" fillId="0" borderId="47" xfId="0" applyFont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42" xfId="0" applyFont="1" applyBorder="1" applyAlignment="1" applyProtection="1">
      <alignment horizontal="center" vertical="center" wrapText="1"/>
      <protection locked="0"/>
    </xf>
    <xf numFmtId="0" fontId="1" fillId="4" borderId="3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46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46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 wrapText="1"/>
    </xf>
    <xf numFmtId="2" fontId="1" fillId="3" borderId="3" xfId="0" applyNumberFormat="1" applyFont="1" applyFill="1" applyBorder="1" applyAlignment="1">
      <alignment horizontal="center" vertical="center" wrapText="1"/>
    </xf>
    <xf numFmtId="2" fontId="1" fillId="3" borderId="12" xfId="0" applyNumberFormat="1" applyFont="1" applyFill="1" applyBorder="1" applyAlignment="1">
      <alignment horizontal="center" vertical="center" wrapText="1"/>
    </xf>
    <xf numFmtId="164" fontId="1" fillId="5" borderId="49" xfId="0" applyNumberFormat="1" applyFont="1" applyFill="1" applyBorder="1" applyAlignment="1">
      <alignment horizontal="center" vertical="center" wrapText="1"/>
    </xf>
    <xf numFmtId="164" fontId="1" fillId="5" borderId="50" xfId="0" applyNumberFormat="1" applyFont="1" applyFill="1" applyBorder="1" applyAlignment="1">
      <alignment horizontal="center" vertical="center" wrapText="1"/>
    </xf>
    <xf numFmtId="164" fontId="1" fillId="5" borderId="51" xfId="0" applyNumberFormat="1" applyFont="1" applyFill="1" applyBorder="1" applyAlignment="1">
      <alignment horizontal="center" vertical="center" wrapText="1"/>
    </xf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5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164" fontId="1" fillId="3" borderId="31" xfId="0" applyNumberFormat="1" applyFont="1" applyFill="1" applyBorder="1" applyAlignment="1">
      <alignment horizontal="center" vertical="center" wrapText="1"/>
    </xf>
    <xf numFmtId="164" fontId="1" fillId="3" borderId="15" xfId="0" applyNumberFormat="1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4" fontId="2" fillId="5" borderId="49" xfId="0" applyNumberFormat="1" applyFont="1" applyFill="1" applyBorder="1" applyAlignment="1">
      <alignment horizontal="center" vertical="center" wrapText="1"/>
    </xf>
    <xf numFmtId="164" fontId="2" fillId="5" borderId="50" xfId="0" applyNumberFormat="1" applyFont="1" applyFill="1" applyBorder="1" applyAlignment="1">
      <alignment horizontal="center" vertical="center" wrapText="1"/>
    </xf>
    <xf numFmtId="164" fontId="2" fillId="5" borderId="51" xfId="0" applyNumberFormat="1" applyFont="1" applyFill="1" applyBorder="1" applyAlignment="1">
      <alignment horizontal="center" vertical="center" wrapText="1"/>
    </xf>
    <xf numFmtId="164" fontId="1" fillId="5" borderId="34" xfId="0" applyNumberFormat="1" applyFont="1" applyFill="1" applyBorder="1" applyAlignment="1">
      <alignment horizontal="center" vertical="center" wrapText="1"/>
    </xf>
    <xf numFmtId="164" fontId="1" fillId="5" borderId="31" xfId="0" applyNumberFormat="1" applyFont="1" applyFill="1" applyBorder="1" applyAlignment="1">
      <alignment horizontal="center" vertical="center" wrapText="1"/>
    </xf>
    <xf numFmtId="164" fontId="1" fillId="5" borderId="15" xfId="0" applyNumberFormat="1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4" fontId="1" fillId="5" borderId="7" xfId="0" applyNumberFormat="1" applyFont="1" applyFill="1" applyBorder="1" applyAlignment="1">
      <alignment horizontal="center" vertical="center" wrapText="1"/>
    </xf>
    <xf numFmtId="164" fontId="1" fillId="5" borderId="8" xfId="0" applyNumberFormat="1" applyFont="1" applyFill="1" applyBorder="1" applyAlignment="1">
      <alignment horizontal="center" vertical="center" wrapText="1"/>
    </xf>
    <xf numFmtId="164" fontId="1" fillId="5" borderId="9" xfId="0" applyNumberFormat="1" applyFont="1" applyFill="1" applyBorder="1" applyAlignment="1">
      <alignment horizontal="center" vertical="center" wrapText="1"/>
    </xf>
    <xf numFmtId="164" fontId="1" fillId="5" borderId="4" xfId="0" applyNumberFormat="1" applyFont="1" applyFill="1" applyBorder="1" applyAlignment="1">
      <alignment horizontal="center" vertical="center" wrapText="1"/>
    </xf>
    <xf numFmtId="164" fontId="1" fillId="5" borderId="5" xfId="0" applyNumberFormat="1" applyFont="1" applyFill="1" applyBorder="1" applyAlignment="1">
      <alignment horizontal="center" vertical="center" wrapText="1"/>
    </xf>
    <xf numFmtId="164" fontId="1" fillId="5" borderId="6" xfId="0" applyNumberFormat="1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2" fontId="11" fillId="3" borderId="3" xfId="0" applyNumberFormat="1" applyFont="1" applyFill="1" applyBorder="1" applyAlignment="1">
      <alignment horizontal="center" vertical="center" wrapText="1"/>
    </xf>
    <xf numFmtId="2" fontId="11" fillId="3" borderId="37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164" fontId="9" fillId="5" borderId="49" xfId="0" applyNumberFormat="1" applyFont="1" applyFill="1" applyBorder="1" applyAlignment="1">
      <alignment horizontal="center" vertical="center" wrapText="1"/>
    </xf>
    <xf numFmtId="164" fontId="9" fillId="5" borderId="50" xfId="0" applyNumberFormat="1" applyFont="1" applyFill="1" applyBorder="1" applyAlignment="1">
      <alignment horizontal="center" vertical="center" wrapText="1"/>
    </xf>
    <xf numFmtId="164" fontId="9" fillId="5" borderId="51" xfId="0" applyNumberFormat="1" applyFont="1" applyFill="1" applyBorder="1" applyAlignment="1">
      <alignment horizontal="center" vertical="center" wrapText="1"/>
    </xf>
    <xf numFmtId="164" fontId="1" fillId="3" borderId="34" xfId="0" applyNumberFormat="1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51" xfId="0" applyNumberFormat="1" applyFont="1" applyBorder="1" applyAlignment="1">
      <alignment horizontal="center" vertical="center" wrapText="1"/>
    </xf>
    <xf numFmtId="164" fontId="3" fillId="0" borderId="16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2" fillId="0" borderId="54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2" fontId="8" fillId="4" borderId="55" xfId="0" applyNumberFormat="1" applyFont="1" applyFill="1" applyBorder="1" applyAlignment="1">
      <alignment horizontal="center"/>
    </xf>
    <xf numFmtId="2" fontId="8" fillId="4" borderId="48" xfId="0" applyNumberFormat="1" applyFont="1" applyFill="1" applyBorder="1" applyAlignment="1">
      <alignment horizontal="center"/>
    </xf>
    <xf numFmtId="0" fontId="2" fillId="0" borderId="55" xfId="0" applyFont="1" applyBorder="1" applyAlignment="1">
      <alignment horizontal="center"/>
    </xf>
    <xf numFmtId="2" fontId="8" fillId="4" borderId="43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" fontId="6" fillId="4" borderId="8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 wrapText="1"/>
    </xf>
    <xf numFmtId="0" fontId="2" fillId="5" borderId="31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" fontId="6" fillId="0" borderId="46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A319-D209-4F05-8195-F54D633D6026}">
  <sheetPr codeName="Sheet1"/>
  <dimension ref="B2:AC189"/>
  <sheetViews>
    <sheetView rightToLeft="1" tabSelected="1" zoomScale="40" zoomScaleNormal="40" workbookViewId="0">
      <selection activeCell="H29" sqref="H29:Q59"/>
    </sheetView>
  </sheetViews>
  <sheetFormatPr defaultColWidth="9.109375" defaultRowHeight="18" x14ac:dyDescent="0.3"/>
  <cols>
    <col min="1" max="2" width="4.21875" style="127" customWidth="1"/>
    <col min="3" max="3" width="14.6640625" style="127" customWidth="1"/>
    <col min="4" max="6" width="27.21875" style="127" customWidth="1"/>
    <col min="7" max="8" width="15.33203125" style="127" customWidth="1"/>
    <col min="9" max="15" width="14.33203125" style="127" customWidth="1"/>
    <col min="16" max="16" width="13" style="127" customWidth="1"/>
    <col min="17" max="17" width="26.33203125" style="127" customWidth="1"/>
    <col min="18" max="19" width="9.109375" style="127"/>
    <col min="20" max="27" width="13.21875" style="127" customWidth="1"/>
    <col min="28" max="28" width="9.109375" style="127"/>
    <col min="29" max="29" width="9.109375" style="261"/>
    <col min="30" max="16384" width="9.109375" style="127"/>
  </cols>
  <sheetData>
    <row r="2" spans="3:28" ht="18.600000000000001" thickBot="1" x14ac:dyDescent="0.35"/>
    <row r="3" spans="3:28" ht="35.25" customHeight="1" thickBot="1" x14ac:dyDescent="0.35">
      <c r="C3" s="300" t="s">
        <v>113</v>
      </c>
      <c r="D3" s="301"/>
      <c r="E3" s="302"/>
      <c r="F3" s="303" t="s">
        <v>114</v>
      </c>
      <c r="G3" s="304"/>
      <c r="H3" s="305"/>
      <c r="J3" s="300" t="s">
        <v>113</v>
      </c>
      <c r="K3" s="301"/>
      <c r="L3" s="302"/>
      <c r="M3" s="303" t="s">
        <v>114</v>
      </c>
      <c r="N3" s="304"/>
      <c r="O3" s="305"/>
      <c r="Q3" s="128" t="s">
        <v>190</v>
      </c>
    </row>
    <row r="4" spans="3:28" ht="29.25" customHeight="1" thickBot="1" x14ac:dyDescent="0.35">
      <c r="C4" s="306" t="s">
        <v>40</v>
      </c>
      <c r="D4" s="129" t="s">
        <v>118</v>
      </c>
      <c r="E4" s="130">
        <v>645</v>
      </c>
      <c r="F4" s="307" t="s">
        <v>119</v>
      </c>
      <c r="G4" s="131" t="s">
        <v>120</v>
      </c>
      <c r="H4" s="224">
        <f>O4/$Q$4</f>
        <v>11.344537815126051</v>
      </c>
      <c r="J4" s="306" t="s">
        <v>40</v>
      </c>
      <c r="K4" s="129" t="s">
        <v>118</v>
      </c>
      <c r="L4" s="226">
        <f>E4*$Q$4</f>
        <v>7675500</v>
      </c>
      <c r="M4" s="307" t="s">
        <v>119</v>
      </c>
      <c r="N4" s="131" t="s">
        <v>120</v>
      </c>
      <c r="O4" s="132">
        <v>135000</v>
      </c>
      <c r="Q4" s="133">
        <v>11900</v>
      </c>
    </row>
    <row r="5" spans="3:28" ht="29.25" customHeight="1" x14ac:dyDescent="0.3">
      <c r="C5" s="293"/>
      <c r="D5" s="134" t="s">
        <v>117</v>
      </c>
      <c r="E5" s="135">
        <v>680</v>
      </c>
      <c r="F5" s="292"/>
      <c r="G5" s="136" t="s">
        <v>121</v>
      </c>
      <c r="H5" s="224">
        <f t="shared" ref="H5:H11" si="0">O5/$Q$4</f>
        <v>3.7815126050420167</v>
      </c>
      <c r="J5" s="293"/>
      <c r="K5" s="134" t="s">
        <v>117</v>
      </c>
      <c r="L5" s="226">
        <f t="shared" ref="L5:L7" si="1">E5*$Q$4</f>
        <v>8092000</v>
      </c>
      <c r="M5" s="292"/>
      <c r="N5" s="136" t="s">
        <v>121</v>
      </c>
      <c r="O5" s="137">
        <f>O4/3</f>
        <v>45000</v>
      </c>
    </row>
    <row r="6" spans="3:28" ht="29.25" customHeight="1" x14ac:dyDescent="0.3">
      <c r="C6" s="293"/>
      <c r="D6" s="134" t="s">
        <v>115</v>
      </c>
      <c r="E6" s="135">
        <v>710</v>
      </c>
      <c r="F6" s="292"/>
      <c r="G6" s="136" t="s">
        <v>122</v>
      </c>
      <c r="H6" s="224">
        <f t="shared" si="0"/>
        <v>11.344537815126051</v>
      </c>
      <c r="J6" s="293"/>
      <c r="K6" s="134" t="s">
        <v>115</v>
      </c>
      <c r="L6" s="226">
        <f t="shared" si="1"/>
        <v>8449000</v>
      </c>
      <c r="M6" s="292"/>
      <c r="N6" s="136" t="s">
        <v>122</v>
      </c>
      <c r="O6" s="137">
        <v>135000</v>
      </c>
    </row>
    <row r="7" spans="3:28" ht="27" customHeight="1" x14ac:dyDescent="0.3">
      <c r="C7" s="293" t="s">
        <v>42</v>
      </c>
      <c r="D7" s="294"/>
      <c r="E7" s="135">
        <v>130</v>
      </c>
      <c r="F7" s="292"/>
      <c r="G7" s="136" t="s">
        <v>123</v>
      </c>
      <c r="H7" s="224">
        <f t="shared" si="0"/>
        <v>168.0672268907563</v>
      </c>
      <c r="J7" s="293" t="s">
        <v>42</v>
      </c>
      <c r="K7" s="294"/>
      <c r="L7" s="226">
        <f t="shared" si="1"/>
        <v>1547000</v>
      </c>
      <c r="M7" s="292"/>
      <c r="N7" s="136" t="s">
        <v>123</v>
      </c>
      <c r="O7" s="137">
        <v>2000000</v>
      </c>
    </row>
    <row r="8" spans="3:28" ht="27" customHeight="1" x14ac:dyDescent="0.3">
      <c r="C8" s="293" t="s">
        <v>41</v>
      </c>
      <c r="D8" s="294"/>
      <c r="E8" s="222">
        <f>L8/$Q$4</f>
        <v>13.445378151260504</v>
      </c>
      <c r="F8" s="295" t="s">
        <v>124</v>
      </c>
      <c r="G8" s="136" t="s">
        <v>0</v>
      </c>
      <c r="H8" s="224">
        <f t="shared" si="0"/>
        <v>168.0672268907563</v>
      </c>
      <c r="J8" s="293" t="s">
        <v>41</v>
      </c>
      <c r="K8" s="294"/>
      <c r="L8" s="138">
        <v>160000</v>
      </c>
      <c r="M8" s="295" t="s">
        <v>124</v>
      </c>
      <c r="N8" s="136" t="s">
        <v>0</v>
      </c>
      <c r="O8" s="137">
        <v>2000000</v>
      </c>
    </row>
    <row r="9" spans="3:28" ht="27" customHeight="1" x14ac:dyDescent="0.3">
      <c r="C9" s="293" t="s">
        <v>43</v>
      </c>
      <c r="D9" s="294"/>
      <c r="E9" s="222">
        <f t="shared" ref="E9:E11" si="2">L9/$Q$4</f>
        <v>0.46218487394957986</v>
      </c>
      <c r="F9" s="296"/>
      <c r="G9" s="136" t="s">
        <v>125</v>
      </c>
      <c r="H9" s="224">
        <f t="shared" si="0"/>
        <v>168.0672268907563</v>
      </c>
      <c r="J9" s="293" t="s">
        <v>43</v>
      </c>
      <c r="K9" s="294"/>
      <c r="L9" s="138">
        <v>5500</v>
      </c>
      <c r="M9" s="296"/>
      <c r="N9" s="136" t="s">
        <v>125</v>
      </c>
      <c r="O9" s="137">
        <v>2000000</v>
      </c>
    </row>
    <row r="10" spans="3:28" ht="27" customHeight="1" x14ac:dyDescent="0.3">
      <c r="C10" s="293" t="s">
        <v>73</v>
      </c>
      <c r="D10" s="294"/>
      <c r="E10" s="222">
        <f t="shared" si="2"/>
        <v>0.29411764705882354</v>
      </c>
      <c r="F10" s="296"/>
      <c r="G10" s="136" t="s">
        <v>126</v>
      </c>
      <c r="H10" s="224">
        <f t="shared" si="0"/>
        <v>210.08403361344537</v>
      </c>
      <c r="J10" s="293" t="s">
        <v>73</v>
      </c>
      <c r="K10" s="294"/>
      <c r="L10" s="138">
        <v>3500</v>
      </c>
      <c r="M10" s="296"/>
      <c r="N10" s="136" t="s">
        <v>126</v>
      </c>
      <c r="O10" s="137">
        <v>2500000</v>
      </c>
    </row>
    <row r="11" spans="3:28" ht="27" customHeight="1" thickBot="1" x14ac:dyDescent="0.35">
      <c r="C11" s="298" t="s">
        <v>116</v>
      </c>
      <c r="D11" s="299"/>
      <c r="E11" s="223">
        <f t="shared" si="2"/>
        <v>15.966386554621849</v>
      </c>
      <c r="F11" s="297"/>
      <c r="G11" s="141" t="s">
        <v>127</v>
      </c>
      <c r="H11" s="225">
        <f t="shared" si="0"/>
        <v>16.806722689075631</v>
      </c>
      <c r="J11" s="298" t="s">
        <v>116</v>
      </c>
      <c r="K11" s="299"/>
      <c r="L11" s="142">
        <v>190000</v>
      </c>
      <c r="M11" s="297"/>
      <c r="N11" s="141" t="s">
        <v>127</v>
      </c>
      <c r="O11" s="143">
        <v>200000</v>
      </c>
    </row>
    <row r="12" spans="3:28" ht="18.600000000000001" thickBot="1" x14ac:dyDescent="0.35">
      <c r="C12" s="144"/>
      <c r="E12" s="144"/>
    </row>
    <row r="13" spans="3:28" ht="35.25" customHeight="1" thickBot="1" x14ac:dyDescent="0.35">
      <c r="C13" s="317" t="s">
        <v>192</v>
      </c>
      <c r="D13" s="318"/>
      <c r="E13" s="318"/>
      <c r="F13" s="319"/>
      <c r="H13" s="345" t="s">
        <v>129</v>
      </c>
      <c r="I13" s="346"/>
      <c r="J13" s="346"/>
      <c r="K13" s="346"/>
      <c r="L13" s="346"/>
      <c r="M13" s="346"/>
      <c r="N13" s="347"/>
      <c r="P13" s="308" t="s">
        <v>189</v>
      </c>
      <c r="Q13" s="309"/>
      <c r="S13" s="287" t="s">
        <v>208</v>
      </c>
      <c r="T13" s="288"/>
      <c r="U13" s="288"/>
      <c r="V13" s="288"/>
      <c r="W13" s="288"/>
      <c r="X13" s="288"/>
      <c r="Y13" s="288"/>
      <c r="Z13" s="288"/>
      <c r="AA13" s="288"/>
      <c r="AB13" s="289"/>
    </row>
    <row r="14" spans="3:28" ht="45" customHeight="1" thickBot="1" x14ac:dyDescent="0.35">
      <c r="C14" s="145" t="s">
        <v>81</v>
      </c>
      <c r="D14" s="146" t="s">
        <v>74</v>
      </c>
      <c r="E14" s="147" t="s">
        <v>114</v>
      </c>
      <c r="F14" s="148" t="s">
        <v>14</v>
      </c>
      <c r="H14" s="149" t="s">
        <v>81</v>
      </c>
      <c r="I14" s="147" t="s">
        <v>130</v>
      </c>
      <c r="J14" s="147" t="s">
        <v>86</v>
      </c>
      <c r="K14" s="147" t="s">
        <v>131</v>
      </c>
      <c r="L14" s="147" t="s">
        <v>132</v>
      </c>
      <c r="M14" s="147" t="s">
        <v>133</v>
      </c>
      <c r="N14" s="150" t="s">
        <v>134</v>
      </c>
      <c r="P14" s="151" t="s">
        <v>115</v>
      </c>
      <c r="Q14" s="246">
        <f>Columns!T16+Beams!S14+Slaps!P9+Slaps!T35</f>
        <v>0.51200000000000001</v>
      </c>
      <c r="S14" s="269" t="s">
        <v>81</v>
      </c>
      <c r="T14" s="264" t="s">
        <v>209</v>
      </c>
      <c r="U14" s="265" t="s">
        <v>210</v>
      </c>
      <c r="V14" s="265" t="s">
        <v>216</v>
      </c>
      <c r="W14" s="265" t="s">
        <v>211</v>
      </c>
      <c r="X14" s="265" t="s">
        <v>212</v>
      </c>
      <c r="Y14" s="265" t="s">
        <v>215</v>
      </c>
      <c r="Z14" s="265" t="s">
        <v>214</v>
      </c>
      <c r="AA14" s="266" t="s">
        <v>213</v>
      </c>
      <c r="AB14" s="266" t="s">
        <v>219</v>
      </c>
    </row>
    <row r="15" spans="3:28" ht="21.75" customHeight="1" x14ac:dyDescent="0.3">
      <c r="C15" s="152" t="s">
        <v>72</v>
      </c>
      <c r="D15" s="30">
        <f>Excavation!G5*Excavation!J13/Q4</f>
        <v>0</v>
      </c>
      <c r="E15" s="227">
        <f>Excavation!F13-sumry!D15</f>
        <v>0</v>
      </c>
      <c r="F15" s="228">
        <f>E15+D15</f>
        <v>0</v>
      </c>
      <c r="H15" s="152" t="s">
        <v>72</v>
      </c>
      <c r="I15" s="235">
        <v>0</v>
      </c>
      <c r="J15" s="236">
        <v>0</v>
      </c>
      <c r="K15" s="235">
        <v>0</v>
      </c>
      <c r="L15" s="235">
        <v>0</v>
      </c>
      <c r="M15" s="235">
        <v>0</v>
      </c>
      <c r="N15" s="237">
        <v>0</v>
      </c>
      <c r="P15" s="153" t="s">
        <v>139</v>
      </c>
      <c r="Q15" s="247">
        <f>Columns!R16+Beams!Q14+Slaps!N9+Slaps!R35</f>
        <v>0.81600000000000006</v>
      </c>
      <c r="S15" s="284" t="s">
        <v>9</v>
      </c>
      <c r="T15" s="267">
        <v>4</v>
      </c>
      <c r="U15" s="262">
        <f>8*8+10*8+6*6</f>
        <v>180</v>
      </c>
      <c r="V15" s="263">
        <v>12</v>
      </c>
      <c r="W15" s="262">
        <f>IF(V15=6,6,12)</f>
        <v>12</v>
      </c>
      <c r="X15" s="262">
        <f>ROUNDDOWN(IF(T15=0,0,W15/T15),0)</f>
        <v>3</v>
      </c>
      <c r="Y15" s="262">
        <f>IF(T15=0,0,W15-X15*T15)</f>
        <v>0</v>
      </c>
      <c r="Z15" s="262">
        <f>IF(X15=0,0,ROUNDUP(U15/X15,0))</f>
        <v>60</v>
      </c>
      <c r="AA15" s="268" t="str">
        <f t="shared" ref="AA15:AA17" si="3">IF(Y15=0,"1   *   "&amp;ROUND(AC15,1),Z15&amp;"   *  "&amp;ROUNDUP(Y15,1))</f>
        <v>1   *   0</v>
      </c>
      <c r="AB15" s="136">
        <f>Z15*W15*0.89</f>
        <v>640.79999999999995</v>
      </c>
    </row>
    <row r="16" spans="3:28" ht="21.75" customHeight="1" x14ac:dyDescent="0.3">
      <c r="C16" s="152" t="s">
        <v>0</v>
      </c>
      <c r="D16" s="30">
        <f>Foundation!C18+Foundation!C19+Foundation!C20</f>
        <v>0</v>
      </c>
      <c r="E16" s="227">
        <f>Foundation!C21</f>
        <v>0</v>
      </c>
      <c r="F16" s="228">
        <f t="shared" ref="F16:F23" si="4">E16+D16</f>
        <v>0</v>
      </c>
      <c r="H16" s="152" t="s">
        <v>0</v>
      </c>
      <c r="I16" s="235">
        <f>Foundation!I14</f>
        <v>0</v>
      </c>
      <c r="J16" s="236">
        <f>Foundation!S14</f>
        <v>0</v>
      </c>
      <c r="K16" s="235">
        <f>Foundation!J14</f>
        <v>0</v>
      </c>
      <c r="L16" s="235">
        <v>0</v>
      </c>
      <c r="M16" s="235">
        <v>0</v>
      </c>
      <c r="N16" s="237">
        <v>0</v>
      </c>
      <c r="P16" s="153" t="s">
        <v>178</v>
      </c>
      <c r="Q16" s="247">
        <f>Slaps!L9+Slaps!P35</f>
        <v>0</v>
      </c>
      <c r="S16" s="285"/>
      <c r="T16" s="279">
        <v>3.5</v>
      </c>
      <c r="U16" s="273">
        <v>0</v>
      </c>
      <c r="V16" s="274">
        <v>12</v>
      </c>
      <c r="W16" s="262">
        <f t="shared" ref="W16:W17" si="5">IF(V16=6,6,12)</f>
        <v>12</v>
      </c>
      <c r="X16" s="262">
        <f>ROUNDDOWN(IF(T16=0,0,W16/T16),0)</f>
        <v>3</v>
      </c>
      <c r="Y16" s="262">
        <f>IF(T16=0,0,W16-X16*T16)</f>
        <v>1.5</v>
      </c>
      <c r="Z16" s="262">
        <f>IF(X16=0,0,ROUNDUP(U16/X16,0))</f>
        <v>0</v>
      </c>
      <c r="AA16" s="268" t="str">
        <f t="shared" si="3"/>
        <v>0   *  1.5</v>
      </c>
      <c r="AB16" s="136">
        <f>Z16*W16*0.89</f>
        <v>0</v>
      </c>
    </row>
    <row r="17" spans="3:29" ht="21.75" customHeight="1" x14ac:dyDescent="0.3">
      <c r="C17" s="152" t="s">
        <v>9</v>
      </c>
      <c r="D17" s="30">
        <f>Columns!D20+Columns!D21+Columns!D22</f>
        <v>1505.5294957983192</v>
      </c>
      <c r="E17" s="227">
        <f>Columns!D23</f>
        <v>675.63025210084038</v>
      </c>
      <c r="F17" s="228">
        <f t="shared" si="4"/>
        <v>2181.1597478991598</v>
      </c>
      <c r="H17" s="152" t="s">
        <v>9</v>
      </c>
      <c r="I17" s="235">
        <f>Columns!K16</f>
        <v>5.056</v>
      </c>
      <c r="J17" s="236">
        <f>Columns!U16</f>
        <v>0.98199999999999998</v>
      </c>
      <c r="K17" s="235">
        <f>Columns!L16</f>
        <v>15.167999999999999</v>
      </c>
      <c r="L17" s="235">
        <v>0</v>
      </c>
      <c r="M17" s="235">
        <v>0</v>
      </c>
      <c r="N17" s="237">
        <v>0</v>
      </c>
      <c r="P17" s="153" t="s">
        <v>138</v>
      </c>
      <c r="Q17" s="247">
        <f>Foundation!O14+Columns!P16+Slaps!J9+Slaps!N35+Beams!O14+Stairs!M16</f>
        <v>2.5803379999999998</v>
      </c>
      <c r="S17" s="285"/>
      <c r="T17" s="136">
        <v>0</v>
      </c>
      <c r="U17" s="262">
        <v>0</v>
      </c>
      <c r="V17" s="263">
        <v>12</v>
      </c>
      <c r="W17" s="262">
        <f t="shared" si="5"/>
        <v>12</v>
      </c>
      <c r="X17" s="262">
        <f>ROUNDDOWN(IF(T17=0,0,W17/T17),0)</f>
        <v>0</v>
      </c>
      <c r="Y17" s="262">
        <f>IF(T17=0,0,W17-X17*T17)</f>
        <v>0</v>
      </c>
      <c r="Z17" s="262">
        <f>IF(X17=0,0,ROUNDUP(U17/X17,0))</f>
        <v>0</v>
      </c>
      <c r="AA17" s="268" t="str">
        <f t="shared" si="3"/>
        <v>1   *   0</v>
      </c>
      <c r="AB17" s="136"/>
    </row>
    <row r="18" spans="3:29" ht="21.75" customHeight="1" thickBot="1" x14ac:dyDescent="0.35">
      <c r="C18" s="152" t="s">
        <v>125</v>
      </c>
      <c r="D18" s="30">
        <f>Beams!D18+Beams!D19+Beams!D20</f>
        <v>0</v>
      </c>
      <c r="E18" s="227">
        <f>Beams!D21</f>
        <v>0</v>
      </c>
      <c r="F18" s="228">
        <f t="shared" si="4"/>
        <v>0</v>
      </c>
      <c r="H18" s="152" t="s">
        <v>125</v>
      </c>
      <c r="I18" s="235">
        <f>Beams!J14</f>
        <v>0</v>
      </c>
      <c r="J18" s="236">
        <f>Beams!T14</f>
        <v>0</v>
      </c>
      <c r="K18" s="235">
        <f>Beams!K14</f>
        <v>0</v>
      </c>
      <c r="L18" s="235">
        <v>0</v>
      </c>
      <c r="M18" s="235">
        <v>0</v>
      </c>
      <c r="N18" s="237">
        <v>0</v>
      </c>
      <c r="P18" s="154" t="s">
        <v>140</v>
      </c>
      <c r="Q18" s="248">
        <f>Foundation!R14+Columns!N16+Beams!M14+Slaps!L35</f>
        <v>0</v>
      </c>
      <c r="S18" s="286"/>
      <c r="T18" s="290"/>
      <c r="U18" s="291"/>
      <c r="V18" s="291"/>
      <c r="W18" s="291"/>
      <c r="X18" s="291"/>
      <c r="Y18" s="291"/>
      <c r="Z18" s="291"/>
      <c r="AA18" s="292"/>
      <c r="AB18" s="136">
        <f>SUM(AB15:AB17)</f>
        <v>640.79999999999995</v>
      </c>
    </row>
    <row r="19" spans="3:29" ht="21.75" customHeight="1" x14ac:dyDescent="0.3">
      <c r="C19" s="152" t="s">
        <v>59</v>
      </c>
      <c r="D19" s="30">
        <f>Slaps!D12+Slaps!D13+Slaps!D14</f>
        <v>0</v>
      </c>
      <c r="E19" s="227">
        <f>Slaps!D15</f>
        <v>0</v>
      </c>
      <c r="F19" s="228">
        <f t="shared" si="4"/>
        <v>0</v>
      </c>
      <c r="H19" s="152" t="s">
        <v>59</v>
      </c>
      <c r="I19" s="235">
        <f>Slaps!G9</f>
        <v>0</v>
      </c>
      <c r="J19" s="236">
        <f>Slaps!Q8</f>
        <v>0</v>
      </c>
      <c r="K19" s="235">
        <f>Slaps!H9</f>
        <v>0</v>
      </c>
      <c r="L19" s="235">
        <v>0</v>
      </c>
      <c r="M19" s="235">
        <v>0</v>
      </c>
      <c r="N19" s="237">
        <v>0</v>
      </c>
      <c r="T19" s="136"/>
      <c r="U19" s="262"/>
      <c r="V19" s="263"/>
      <c r="W19" s="262"/>
      <c r="X19" s="262"/>
      <c r="Y19" s="262"/>
      <c r="Z19" s="262"/>
      <c r="AA19" s="268"/>
      <c r="AB19" s="136"/>
    </row>
    <row r="20" spans="3:29" ht="21.75" customHeight="1" x14ac:dyDescent="0.3">
      <c r="C20" s="152" t="s">
        <v>44</v>
      </c>
      <c r="D20" s="30">
        <f>Stairs!D20+Stairs!D21+Stairs!D22</f>
        <v>230.10900831932776</v>
      </c>
      <c r="E20" s="227">
        <f>Stairs!D23</f>
        <v>218.0672268907563</v>
      </c>
      <c r="F20" s="228">
        <f>D20+E20</f>
        <v>448.17623521008409</v>
      </c>
      <c r="H20" s="152" t="s">
        <v>44</v>
      </c>
      <c r="I20" s="235">
        <f>Stairs!L9</f>
        <v>0.83664000000000005</v>
      </c>
      <c r="J20" s="236">
        <f>Stairs!M16</f>
        <v>0.12833800000000001</v>
      </c>
      <c r="K20" s="235">
        <f>Stairs!M9</f>
        <v>2.8684799999999999</v>
      </c>
      <c r="L20" s="235">
        <v>0</v>
      </c>
      <c r="M20" s="235">
        <v>0</v>
      </c>
      <c r="N20" s="237">
        <v>0</v>
      </c>
      <c r="T20" s="275">
        <v>8.75</v>
      </c>
      <c r="U20" s="276">
        <v>21</v>
      </c>
      <c r="V20" s="277">
        <v>12</v>
      </c>
      <c r="W20" s="276">
        <f t="shared" ref="W20:W33" si="6">IF(V20=6,6,12)</f>
        <v>12</v>
      </c>
      <c r="X20" s="276">
        <f t="shared" ref="X20:X26" si="7">ROUNDDOWN(IF(T20=0,0,W20/T20),0)</f>
        <v>1</v>
      </c>
      <c r="Y20" s="276">
        <f t="shared" ref="Y20:Y26" si="8">IF(T20=0,0,W20-X20*T20)</f>
        <v>3.25</v>
      </c>
      <c r="Z20" s="276">
        <f t="shared" ref="Z20:Z26" si="9">IF(X20=0,0,ROUNDUP(U20/X20,0))</f>
        <v>21</v>
      </c>
      <c r="AA20" s="271" t="str">
        <f t="shared" ref="AA20:AA33" si="10">IF(Y20=0,"1   *   "&amp;ROUND(AC20,1),Z20&amp;"   *  "&amp;ROUNDUP(Y20,1))</f>
        <v>21   *  3.3</v>
      </c>
      <c r="AB20" s="275">
        <f>Z20*W20*0.89</f>
        <v>224.28</v>
      </c>
      <c r="AC20" s="261">
        <v>20</v>
      </c>
    </row>
    <row r="21" spans="3:29" ht="21.75" customHeight="1" x14ac:dyDescent="0.3">
      <c r="C21" s="152" t="s">
        <v>126</v>
      </c>
      <c r="D21" s="30">
        <f>Slaps!D39+Slaps!D40+Slaps!D41+Slaps!D42</f>
        <v>4441.4153423865546</v>
      </c>
      <c r="E21" s="227">
        <f>Slaps!D43</f>
        <v>594.57710252100833</v>
      </c>
      <c r="F21" s="228">
        <f t="shared" si="4"/>
        <v>5035.9924449075625</v>
      </c>
      <c r="H21" s="152" t="s">
        <v>126</v>
      </c>
      <c r="I21" s="235">
        <f>Slaps!I35</f>
        <v>11.862323199999999</v>
      </c>
      <c r="J21" s="236">
        <f>Slaps!U35</f>
        <v>2.7980000000000005</v>
      </c>
      <c r="K21" s="235">
        <f>Slaps!J35</f>
        <v>40.670822399999992</v>
      </c>
      <c r="L21" s="235">
        <f>Slaps!G35</f>
        <v>1075</v>
      </c>
      <c r="M21" s="235">
        <v>0</v>
      </c>
      <c r="N21" s="237">
        <v>0</v>
      </c>
      <c r="T21" s="275">
        <v>7.3</v>
      </c>
      <c r="U21" s="276">
        <v>15</v>
      </c>
      <c r="V21" s="277">
        <v>12</v>
      </c>
      <c r="W21" s="276">
        <f t="shared" si="6"/>
        <v>12</v>
      </c>
      <c r="X21" s="276">
        <f t="shared" si="7"/>
        <v>1</v>
      </c>
      <c r="Y21" s="276">
        <f t="shared" si="8"/>
        <v>4.7</v>
      </c>
      <c r="Z21" s="276">
        <f t="shared" si="9"/>
        <v>15</v>
      </c>
      <c r="AA21" s="271" t="str">
        <f t="shared" si="10"/>
        <v>15   *  4.7</v>
      </c>
      <c r="AB21" s="275">
        <f t="shared" ref="AB21:AB48" si="11">Z21*W21*0.89</f>
        <v>160.19999999999999</v>
      </c>
      <c r="AC21" s="261">
        <v>15</v>
      </c>
    </row>
    <row r="22" spans="3:29" ht="21.75" customHeight="1" x14ac:dyDescent="0.3">
      <c r="C22" s="152" t="s">
        <v>22</v>
      </c>
      <c r="D22" s="30">
        <f>Bricks!D25+Bricks!D26+Bricks!D27</f>
        <v>0</v>
      </c>
      <c r="E22" s="227">
        <f>Bricks!D28</f>
        <v>0</v>
      </c>
      <c r="F22" s="228">
        <f t="shared" si="4"/>
        <v>0</v>
      </c>
      <c r="H22" s="152" t="s">
        <v>22</v>
      </c>
      <c r="I22" s="235">
        <f>Bricks!N21</f>
        <v>0</v>
      </c>
      <c r="J22" s="236">
        <v>0</v>
      </c>
      <c r="K22" s="235">
        <v>0</v>
      </c>
      <c r="L22" s="235">
        <v>0</v>
      </c>
      <c r="M22" s="235">
        <f>Bricks!L21</f>
        <v>0</v>
      </c>
      <c r="N22" s="237">
        <f>Bricks!O21</f>
        <v>0</v>
      </c>
      <c r="T22" s="275">
        <v>6</v>
      </c>
      <c r="U22" s="276">
        <v>15</v>
      </c>
      <c r="V22" s="277">
        <v>12</v>
      </c>
      <c r="W22" s="276">
        <f t="shared" si="6"/>
        <v>12</v>
      </c>
      <c r="X22" s="276">
        <f t="shared" si="7"/>
        <v>2</v>
      </c>
      <c r="Y22" s="276">
        <f t="shared" si="8"/>
        <v>0</v>
      </c>
      <c r="Z22" s="276">
        <f t="shared" si="9"/>
        <v>8</v>
      </c>
      <c r="AA22" s="278" t="str">
        <f t="shared" si="10"/>
        <v>1   *   0</v>
      </c>
      <c r="AB22" s="275">
        <f t="shared" si="11"/>
        <v>85.44</v>
      </c>
    </row>
    <row r="23" spans="3:29" ht="21.75" customHeight="1" thickBot="1" x14ac:dyDescent="0.35">
      <c r="C23" s="155" t="s">
        <v>128</v>
      </c>
      <c r="D23" s="229">
        <f>Plastering!D29+Plastering!D30</f>
        <v>0</v>
      </c>
      <c r="E23" s="230">
        <f>Plastering!D31</f>
        <v>0</v>
      </c>
      <c r="F23" s="231">
        <f t="shared" si="4"/>
        <v>0</v>
      </c>
      <c r="H23" s="155" t="s">
        <v>128</v>
      </c>
      <c r="I23" s="238">
        <f>Plastering!J25</f>
        <v>0</v>
      </c>
      <c r="J23" s="125">
        <v>0</v>
      </c>
      <c r="K23" s="238">
        <v>0</v>
      </c>
      <c r="L23" s="238">
        <v>0</v>
      </c>
      <c r="M23" s="238">
        <v>0</v>
      </c>
      <c r="N23" s="239">
        <f>Plastering!K25</f>
        <v>0</v>
      </c>
      <c r="T23" s="272">
        <v>4.7</v>
      </c>
      <c r="U23" s="273">
        <v>6</v>
      </c>
      <c r="V23" s="274">
        <v>12</v>
      </c>
      <c r="W23" s="276">
        <f t="shared" si="6"/>
        <v>12</v>
      </c>
      <c r="X23" s="276">
        <f t="shared" si="7"/>
        <v>2</v>
      </c>
      <c r="Y23" s="276">
        <f t="shared" si="8"/>
        <v>2.5999999999999996</v>
      </c>
      <c r="Z23" s="276">
        <f t="shared" si="9"/>
        <v>3</v>
      </c>
      <c r="AA23" s="278" t="str">
        <f t="shared" si="10"/>
        <v>3   *  2.6</v>
      </c>
      <c r="AB23" s="275">
        <f t="shared" si="11"/>
        <v>32.04</v>
      </c>
    </row>
    <row r="24" spans="3:29" ht="21.75" customHeight="1" thickBot="1" x14ac:dyDescent="0.35">
      <c r="C24" s="156" t="s">
        <v>14</v>
      </c>
      <c r="D24" s="232">
        <f>SUM(D15:D23)</f>
        <v>6177.0538465042018</v>
      </c>
      <c r="E24" s="233">
        <f>SUM(E15:E23)</f>
        <v>1488.274581512605</v>
      </c>
      <c r="F24" s="234">
        <f>ROUNDUP(SUM(F15:F23),-2)+50+100+150+100</f>
        <v>8100</v>
      </c>
      <c r="H24" s="157" t="s">
        <v>14</v>
      </c>
      <c r="I24" s="240">
        <f>SUM(I15:I23)</f>
        <v>17.754963199999999</v>
      </c>
      <c r="J24" s="240">
        <f>SUM(J15:J23)</f>
        <v>3.9083380000000005</v>
      </c>
      <c r="K24" s="240">
        <f t="shared" ref="K24:N24" si="12">SUM(K15:K23)</f>
        <v>58.707302399999989</v>
      </c>
      <c r="L24" s="240">
        <f t="shared" si="12"/>
        <v>1075</v>
      </c>
      <c r="M24" s="240">
        <f t="shared" si="12"/>
        <v>0</v>
      </c>
      <c r="N24" s="241">
        <f t="shared" si="12"/>
        <v>0</v>
      </c>
      <c r="T24" s="272">
        <v>3</v>
      </c>
      <c r="U24" s="273">
        <v>0</v>
      </c>
      <c r="V24" s="274">
        <v>12</v>
      </c>
      <c r="W24" s="276">
        <f t="shared" si="6"/>
        <v>12</v>
      </c>
      <c r="X24" s="276">
        <f t="shared" si="7"/>
        <v>4</v>
      </c>
      <c r="Y24" s="276">
        <f t="shared" si="8"/>
        <v>0</v>
      </c>
      <c r="Z24" s="276">
        <f t="shared" si="9"/>
        <v>0</v>
      </c>
      <c r="AA24" s="278" t="str">
        <f t="shared" si="10"/>
        <v>1   *   0</v>
      </c>
      <c r="AB24" s="275">
        <f t="shared" si="11"/>
        <v>0</v>
      </c>
    </row>
    <row r="25" spans="3:29" ht="21.75" customHeight="1" thickBot="1" x14ac:dyDescent="0.35">
      <c r="C25" s="144"/>
      <c r="D25" s="158"/>
      <c r="E25" s="158"/>
      <c r="H25" s="144"/>
      <c r="I25" s="159"/>
      <c r="J25" s="159"/>
      <c r="K25" s="159"/>
      <c r="L25" s="159"/>
      <c r="M25" s="159"/>
      <c r="N25" s="159"/>
      <c r="T25" s="275">
        <v>5.7</v>
      </c>
      <c r="U25" s="276">
        <v>12</v>
      </c>
      <c r="V25" s="277">
        <v>12</v>
      </c>
      <c r="W25" s="276">
        <f t="shared" si="6"/>
        <v>12</v>
      </c>
      <c r="X25" s="276">
        <f t="shared" si="7"/>
        <v>2</v>
      </c>
      <c r="Y25" s="276">
        <f t="shared" si="8"/>
        <v>0.59999999999999964</v>
      </c>
      <c r="Z25" s="276">
        <f t="shared" si="9"/>
        <v>6</v>
      </c>
      <c r="AA25" s="278" t="str">
        <f t="shared" si="10"/>
        <v>6   *  0.6</v>
      </c>
      <c r="AB25" s="275">
        <f t="shared" si="11"/>
        <v>64.08</v>
      </c>
    </row>
    <row r="26" spans="3:29" ht="21.75" customHeight="1" thickBot="1" x14ac:dyDescent="0.35">
      <c r="C26" s="144"/>
      <c r="D26" s="158"/>
      <c r="E26" s="158"/>
      <c r="H26" s="242">
        <f>SUM(I26:N26)</f>
        <v>6177.0538465042009</v>
      </c>
      <c r="I26" s="243">
        <f>I24*E7</f>
        <v>2308.1452159999999</v>
      </c>
      <c r="J26" s="244">
        <f>Q14*E6+Q15*E5+Q16*E5+Q17*E4+Q18*E4</f>
        <v>2582.71801</v>
      </c>
      <c r="K26" s="244">
        <f>K24*E8</f>
        <v>789.34188100840322</v>
      </c>
      <c r="L26" s="244">
        <f>L24*E9</f>
        <v>496.84873949579833</v>
      </c>
      <c r="M26" s="244">
        <f>M24*E10</f>
        <v>0</v>
      </c>
      <c r="N26" s="245">
        <f>N24*E11</f>
        <v>0</v>
      </c>
      <c r="T26" s="275">
        <v>4.4000000000000004</v>
      </c>
      <c r="U26" s="276">
        <v>12</v>
      </c>
      <c r="V26" s="277">
        <v>12</v>
      </c>
      <c r="W26" s="276">
        <f t="shared" si="6"/>
        <v>12</v>
      </c>
      <c r="X26" s="276">
        <f t="shared" si="7"/>
        <v>2</v>
      </c>
      <c r="Y26" s="276">
        <f t="shared" si="8"/>
        <v>3.1999999999999993</v>
      </c>
      <c r="Z26" s="276">
        <f t="shared" si="9"/>
        <v>6</v>
      </c>
      <c r="AA26" s="271" t="str">
        <f t="shared" si="10"/>
        <v>6   *  3.2</v>
      </c>
      <c r="AB26" s="275">
        <f t="shared" si="11"/>
        <v>64.08</v>
      </c>
      <c r="AC26" s="261">
        <v>4</v>
      </c>
    </row>
    <row r="27" spans="3:29" ht="21.75" customHeight="1" x14ac:dyDescent="0.3">
      <c r="C27" s="144"/>
      <c r="D27" s="158"/>
      <c r="E27" s="158"/>
      <c r="J27" s="159"/>
      <c r="K27" s="159"/>
      <c r="L27" s="159"/>
      <c r="M27" s="159"/>
      <c r="N27" s="159"/>
      <c r="T27" s="136"/>
      <c r="U27" s="262"/>
      <c r="V27" s="263"/>
      <c r="W27" s="262"/>
      <c r="X27" s="262"/>
      <c r="Y27" s="262"/>
      <c r="Z27" s="262"/>
      <c r="AA27" s="268"/>
      <c r="AB27" s="136">
        <f>SUM(AB20:AB26)</f>
        <v>630.12000000000012</v>
      </c>
    </row>
    <row r="28" spans="3:29" ht="21.75" customHeight="1" thickBot="1" x14ac:dyDescent="0.35">
      <c r="C28" s="144"/>
      <c r="D28" s="158"/>
      <c r="E28" s="158"/>
      <c r="J28" s="159"/>
      <c r="K28" s="159"/>
      <c r="L28" s="159"/>
      <c r="M28" s="159"/>
      <c r="N28" s="159"/>
      <c r="T28" s="275">
        <v>12</v>
      </c>
      <c r="U28" s="276">
        <v>6</v>
      </c>
      <c r="V28" s="277">
        <v>12</v>
      </c>
      <c r="W28" s="276">
        <f t="shared" si="6"/>
        <v>12</v>
      </c>
      <c r="X28" s="276">
        <f t="shared" ref="X28:X33" si="13">ROUNDDOWN(IF(T28=0,0,W28/T28),0)</f>
        <v>1</v>
      </c>
      <c r="Y28" s="276">
        <f t="shared" ref="Y28:Y33" si="14">IF(T28=0,0,W28-X28*T28)</f>
        <v>0</v>
      </c>
      <c r="Z28" s="276">
        <f t="shared" ref="Z28:Z33" si="15">IF(X28=0,0,ROUNDUP(U28/X28,0))</f>
        <v>6</v>
      </c>
      <c r="AA28" s="278" t="str">
        <f t="shared" si="10"/>
        <v>1   *   0</v>
      </c>
      <c r="AB28" s="275">
        <f t="shared" si="11"/>
        <v>64.08</v>
      </c>
    </row>
    <row r="29" spans="3:29" ht="32.25" customHeight="1" thickBot="1" x14ac:dyDescent="0.35">
      <c r="C29" s="317" t="s">
        <v>191</v>
      </c>
      <c r="D29" s="318"/>
      <c r="E29" s="318"/>
      <c r="F29" s="319"/>
      <c r="T29" s="275">
        <v>10</v>
      </c>
      <c r="U29" s="276">
        <v>12</v>
      </c>
      <c r="V29" s="277">
        <v>12</v>
      </c>
      <c r="W29" s="276">
        <f t="shared" si="6"/>
        <v>12</v>
      </c>
      <c r="X29" s="276">
        <f t="shared" si="13"/>
        <v>1</v>
      </c>
      <c r="Y29" s="276">
        <f t="shared" si="14"/>
        <v>2</v>
      </c>
      <c r="Z29" s="276">
        <f t="shared" si="15"/>
        <v>12</v>
      </c>
      <c r="AA29" s="271" t="str">
        <f t="shared" si="10"/>
        <v>12   *  2</v>
      </c>
      <c r="AB29" s="275">
        <f t="shared" si="11"/>
        <v>128.16</v>
      </c>
      <c r="AC29" s="261">
        <v>4</v>
      </c>
    </row>
    <row r="30" spans="3:29" ht="49.5" customHeight="1" x14ac:dyDescent="0.3">
      <c r="C30" s="145" t="s">
        <v>81</v>
      </c>
      <c r="D30" s="146" t="s">
        <v>74</v>
      </c>
      <c r="E30" s="147" t="s">
        <v>114</v>
      </c>
      <c r="F30" s="148" t="s">
        <v>14</v>
      </c>
      <c r="T30" s="280">
        <v>5</v>
      </c>
      <c r="U30" s="281">
        <v>6</v>
      </c>
      <c r="V30" s="282">
        <v>12</v>
      </c>
      <c r="W30" s="281">
        <f t="shared" si="6"/>
        <v>12</v>
      </c>
      <c r="X30" s="281">
        <f t="shared" si="13"/>
        <v>2</v>
      </c>
      <c r="Y30" s="281">
        <f t="shared" si="14"/>
        <v>2</v>
      </c>
      <c r="Z30" s="281">
        <f t="shared" si="15"/>
        <v>3</v>
      </c>
      <c r="AA30" s="283" t="str">
        <f t="shared" si="10"/>
        <v>3   *  2</v>
      </c>
      <c r="AB30" s="280">
        <f t="shared" si="11"/>
        <v>32.04</v>
      </c>
    </row>
    <row r="31" spans="3:29" ht="21.75" customHeight="1" x14ac:dyDescent="0.3">
      <c r="C31" s="152" t="s">
        <v>72</v>
      </c>
      <c r="D31" s="249">
        <f>D15*$Q$4</f>
        <v>0</v>
      </c>
      <c r="E31" s="250">
        <f>E15*$Q$4</f>
        <v>0</v>
      </c>
      <c r="F31" s="251">
        <f>F15*$Q$4</f>
        <v>0</v>
      </c>
      <c r="T31" s="272">
        <v>3.5</v>
      </c>
      <c r="U31" s="273">
        <v>0</v>
      </c>
      <c r="V31" s="274">
        <v>12</v>
      </c>
      <c r="W31" s="276">
        <f t="shared" si="6"/>
        <v>12</v>
      </c>
      <c r="X31" s="276">
        <f t="shared" si="13"/>
        <v>3</v>
      </c>
      <c r="Y31" s="276">
        <f t="shared" si="14"/>
        <v>1.5</v>
      </c>
      <c r="Z31" s="276">
        <f t="shared" si="15"/>
        <v>0</v>
      </c>
      <c r="AA31" s="278" t="str">
        <f t="shared" si="10"/>
        <v>0   *  1.5</v>
      </c>
      <c r="AB31" s="275">
        <f t="shared" si="11"/>
        <v>0</v>
      </c>
    </row>
    <row r="32" spans="3:29" ht="21.75" customHeight="1" x14ac:dyDescent="0.3">
      <c r="C32" s="152" t="s">
        <v>0</v>
      </c>
      <c r="D32" s="249">
        <f t="shared" ref="D32:F38" si="16">D16*$Q$4</f>
        <v>0</v>
      </c>
      <c r="E32" s="250">
        <f t="shared" si="16"/>
        <v>0</v>
      </c>
      <c r="F32" s="251">
        <f t="shared" si="16"/>
        <v>0</v>
      </c>
      <c r="T32" s="275">
        <v>5.75</v>
      </c>
      <c r="U32" s="276">
        <v>7</v>
      </c>
      <c r="V32" s="277">
        <v>12</v>
      </c>
      <c r="W32" s="276">
        <f t="shared" si="6"/>
        <v>12</v>
      </c>
      <c r="X32" s="276">
        <f t="shared" si="13"/>
        <v>2</v>
      </c>
      <c r="Y32" s="276">
        <f t="shared" si="14"/>
        <v>0.5</v>
      </c>
      <c r="Z32" s="276">
        <f t="shared" si="15"/>
        <v>4</v>
      </c>
      <c r="AA32" s="278" t="str">
        <f t="shared" si="10"/>
        <v>4   *  0.5</v>
      </c>
      <c r="AB32" s="275">
        <f t="shared" si="11"/>
        <v>42.72</v>
      </c>
    </row>
    <row r="33" spans="3:28" ht="21.75" customHeight="1" x14ac:dyDescent="0.3">
      <c r="C33" s="152" t="s">
        <v>9</v>
      </c>
      <c r="D33" s="249">
        <f t="shared" si="16"/>
        <v>17915801</v>
      </c>
      <c r="E33" s="250">
        <f t="shared" si="16"/>
        <v>8040000.0000000009</v>
      </c>
      <c r="F33" s="251">
        <f t="shared" si="16"/>
        <v>25955801</v>
      </c>
      <c r="T33" s="275">
        <v>5.55</v>
      </c>
      <c r="U33" s="276">
        <v>6</v>
      </c>
      <c r="V33" s="277">
        <v>12</v>
      </c>
      <c r="W33" s="276">
        <f t="shared" si="6"/>
        <v>12</v>
      </c>
      <c r="X33" s="276">
        <f t="shared" si="13"/>
        <v>2</v>
      </c>
      <c r="Y33" s="276">
        <f t="shared" si="14"/>
        <v>0.90000000000000036</v>
      </c>
      <c r="Z33" s="276">
        <f t="shared" si="15"/>
        <v>3</v>
      </c>
      <c r="AA33" s="278" t="str">
        <f t="shared" si="10"/>
        <v>3   *  0.9</v>
      </c>
      <c r="AB33" s="275">
        <f t="shared" si="11"/>
        <v>32.04</v>
      </c>
    </row>
    <row r="34" spans="3:28" ht="21.75" customHeight="1" x14ac:dyDescent="0.3">
      <c r="C34" s="152" t="s">
        <v>125</v>
      </c>
      <c r="D34" s="249">
        <f t="shared" si="16"/>
        <v>0</v>
      </c>
      <c r="E34" s="250">
        <f t="shared" si="16"/>
        <v>0</v>
      </c>
      <c r="F34" s="251">
        <f t="shared" si="16"/>
        <v>0</v>
      </c>
      <c r="T34" s="136"/>
      <c r="U34" s="262"/>
      <c r="V34" s="263"/>
      <c r="W34" s="262"/>
      <c r="X34" s="262"/>
      <c r="Y34" s="262"/>
      <c r="Z34" s="262"/>
      <c r="AA34" s="268"/>
      <c r="AB34" s="136">
        <f>SUM(AB28:AB33)</f>
        <v>299.04000000000002</v>
      </c>
    </row>
    <row r="35" spans="3:28" ht="21.75" customHeight="1" x14ac:dyDescent="0.3">
      <c r="C35" s="152" t="s">
        <v>59</v>
      </c>
      <c r="D35" s="249">
        <f t="shared" si="16"/>
        <v>0</v>
      </c>
      <c r="E35" s="250">
        <f t="shared" si="16"/>
        <v>0</v>
      </c>
      <c r="F35" s="251">
        <f t="shared" si="16"/>
        <v>0</v>
      </c>
      <c r="T35" s="275">
        <v>11</v>
      </c>
      <c r="U35" s="276">
        <v>6</v>
      </c>
      <c r="V35" s="277">
        <v>12</v>
      </c>
      <c r="W35" s="276">
        <f t="shared" ref="W35:W42" si="17">IF(V35=6,6,12)</f>
        <v>12</v>
      </c>
      <c r="X35" s="276">
        <f t="shared" ref="X35:X42" si="18">ROUNDDOWN(IF(T35=0,0,W35/T35),0)</f>
        <v>1</v>
      </c>
      <c r="Y35" s="276">
        <f t="shared" ref="Y35:Y42" si="19">IF(T35=0,0,W35-X35*T35)</f>
        <v>1</v>
      </c>
      <c r="Z35" s="276">
        <f t="shared" ref="Z35:Z42" si="20">IF(X35=0,0,ROUNDUP(U35/X35,0))</f>
        <v>6</v>
      </c>
      <c r="AA35" s="278" t="str">
        <f t="shared" ref="AA35:AA42" si="21">IF(Y35=0,"1   *   "&amp;ROUND(AC35,1),Z35&amp;"   *  "&amp;ROUNDUP(Y35,1))</f>
        <v>6   *  1</v>
      </c>
      <c r="AB35" s="275">
        <f t="shared" ref="AB35:AB42" si="22">Z35*W35*0.89</f>
        <v>64.08</v>
      </c>
    </row>
    <row r="36" spans="3:28" ht="21.75" customHeight="1" x14ac:dyDescent="0.3">
      <c r="C36" s="152" t="s">
        <v>44</v>
      </c>
      <c r="D36" s="249">
        <f t="shared" si="16"/>
        <v>2738297.1990000005</v>
      </c>
      <c r="E36" s="250">
        <f t="shared" si="16"/>
        <v>2595000</v>
      </c>
      <c r="F36" s="251">
        <f t="shared" si="16"/>
        <v>5333297.199000001</v>
      </c>
      <c r="T36" s="275">
        <v>10</v>
      </c>
      <c r="U36" s="276">
        <v>12</v>
      </c>
      <c r="V36" s="277">
        <v>12</v>
      </c>
      <c r="W36" s="276">
        <f t="shared" si="17"/>
        <v>12</v>
      </c>
      <c r="X36" s="276">
        <f t="shared" si="18"/>
        <v>1</v>
      </c>
      <c r="Y36" s="276">
        <f t="shared" si="19"/>
        <v>2</v>
      </c>
      <c r="Z36" s="276">
        <f t="shared" si="20"/>
        <v>12</v>
      </c>
      <c r="AA36" s="278" t="str">
        <f t="shared" si="21"/>
        <v>12   *  2</v>
      </c>
      <c r="AB36" s="275">
        <f t="shared" si="22"/>
        <v>128.16</v>
      </c>
    </row>
    <row r="37" spans="3:28" ht="21.75" customHeight="1" x14ac:dyDescent="0.3">
      <c r="C37" s="152" t="s">
        <v>126</v>
      </c>
      <c r="D37" s="249">
        <f t="shared" si="16"/>
        <v>52852842.5744</v>
      </c>
      <c r="E37" s="250">
        <f t="shared" si="16"/>
        <v>7075467.5199999996</v>
      </c>
      <c r="F37" s="251">
        <f t="shared" si="16"/>
        <v>59928310.094399996</v>
      </c>
      <c r="T37" s="275">
        <v>6</v>
      </c>
      <c r="U37" s="276">
        <v>30</v>
      </c>
      <c r="V37" s="277">
        <v>12</v>
      </c>
      <c r="W37" s="276">
        <f t="shared" si="17"/>
        <v>12</v>
      </c>
      <c r="X37" s="276">
        <f t="shared" si="18"/>
        <v>2</v>
      </c>
      <c r="Y37" s="276">
        <f t="shared" si="19"/>
        <v>0</v>
      </c>
      <c r="Z37" s="276">
        <f t="shared" si="20"/>
        <v>15</v>
      </c>
      <c r="AA37" s="278" t="str">
        <f t="shared" si="21"/>
        <v>1   *   0</v>
      </c>
      <c r="AB37" s="275">
        <f t="shared" si="22"/>
        <v>160.19999999999999</v>
      </c>
    </row>
    <row r="38" spans="3:28" ht="21.75" customHeight="1" x14ac:dyDescent="0.3">
      <c r="C38" s="152" t="s">
        <v>22</v>
      </c>
      <c r="D38" s="249">
        <f t="shared" si="16"/>
        <v>0</v>
      </c>
      <c r="E38" s="250">
        <f t="shared" si="16"/>
        <v>0</v>
      </c>
      <c r="F38" s="251">
        <f t="shared" si="16"/>
        <v>0</v>
      </c>
      <c r="T38" s="280">
        <v>3.5</v>
      </c>
      <c r="U38" s="281">
        <v>12</v>
      </c>
      <c r="V38" s="282">
        <v>12</v>
      </c>
      <c r="W38" s="281">
        <f t="shared" si="17"/>
        <v>12</v>
      </c>
      <c r="X38" s="281">
        <f t="shared" si="18"/>
        <v>3</v>
      </c>
      <c r="Y38" s="281">
        <f t="shared" si="19"/>
        <v>1.5</v>
      </c>
      <c r="Z38" s="281">
        <f t="shared" si="20"/>
        <v>4</v>
      </c>
      <c r="AA38" s="283" t="str">
        <f t="shared" si="21"/>
        <v>4   *  1.5</v>
      </c>
      <c r="AB38" s="280">
        <f t="shared" si="22"/>
        <v>42.72</v>
      </c>
    </row>
    <row r="39" spans="3:28" ht="21.75" customHeight="1" thickBot="1" x14ac:dyDescent="0.35">
      <c r="C39" s="155" t="s">
        <v>128</v>
      </c>
      <c r="D39" s="252">
        <f>D23*Q4</f>
        <v>0</v>
      </c>
      <c r="E39" s="253">
        <f t="shared" ref="E39:F40" si="23">E23*$Q$4</f>
        <v>0</v>
      </c>
      <c r="F39" s="254">
        <f t="shared" si="23"/>
        <v>0</v>
      </c>
      <c r="R39" s="260"/>
      <c r="T39" s="275">
        <v>5.6</v>
      </c>
      <c r="U39" s="276">
        <v>21</v>
      </c>
      <c r="V39" s="277">
        <v>12</v>
      </c>
      <c r="W39" s="276">
        <f t="shared" si="17"/>
        <v>12</v>
      </c>
      <c r="X39" s="276">
        <f t="shared" si="18"/>
        <v>2</v>
      </c>
      <c r="Y39" s="276">
        <f t="shared" si="19"/>
        <v>0.80000000000000071</v>
      </c>
      <c r="Z39" s="276">
        <f t="shared" si="20"/>
        <v>11</v>
      </c>
      <c r="AA39" s="278" t="str">
        <f t="shared" si="21"/>
        <v>11   *  0.9</v>
      </c>
      <c r="AB39" s="275">
        <f t="shared" si="22"/>
        <v>117.48</v>
      </c>
    </row>
    <row r="40" spans="3:28" ht="21.75" customHeight="1" thickBot="1" x14ac:dyDescent="0.35">
      <c r="C40" s="157" t="s">
        <v>14</v>
      </c>
      <c r="D40" s="255">
        <f>D24*Q4</f>
        <v>73506940.773400009</v>
      </c>
      <c r="E40" s="256">
        <f t="shared" si="23"/>
        <v>17710467.52</v>
      </c>
      <c r="F40" s="257">
        <f t="shared" si="23"/>
        <v>96390000</v>
      </c>
      <c r="T40" s="275">
        <v>11</v>
      </c>
      <c r="U40" s="276">
        <v>12</v>
      </c>
      <c r="V40" s="277">
        <v>12</v>
      </c>
      <c r="W40" s="276">
        <f t="shared" si="17"/>
        <v>12</v>
      </c>
      <c r="X40" s="276">
        <f t="shared" si="18"/>
        <v>1</v>
      </c>
      <c r="Y40" s="276">
        <f t="shared" si="19"/>
        <v>1</v>
      </c>
      <c r="Z40" s="276">
        <f t="shared" si="20"/>
        <v>12</v>
      </c>
      <c r="AA40" s="278" t="str">
        <f t="shared" si="21"/>
        <v>12   *  1</v>
      </c>
      <c r="AB40" s="275">
        <f t="shared" si="22"/>
        <v>128.16</v>
      </c>
    </row>
    <row r="41" spans="3:28" ht="21.75" customHeight="1" x14ac:dyDescent="0.3">
      <c r="C41" s="144"/>
      <c r="D41" s="158"/>
      <c r="E41" s="158"/>
      <c r="R41" s="260"/>
      <c r="T41" s="275">
        <v>10</v>
      </c>
      <c r="U41" s="276">
        <v>24</v>
      </c>
      <c r="V41" s="277">
        <v>12</v>
      </c>
      <c r="W41" s="276">
        <f t="shared" si="17"/>
        <v>12</v>
      </c>
      <c r="X41" s="276">
        <f t="shared" si="18"/>
        <v>1</v>
      </c>
      <c r="Y41" s="276">
        <f t="shared" si="19"/>
        <v>2</v>
      </c>
      <c r="Z41" s="276">
        <f t="shared" si="20"/>
        <v>24</v>
      </c>
      <c r="AA41" s="278" t="str">
        <f t="shared" si="21"/>
        <v>24   *  2</v>
      </c>
      <c r="AB41" s="275">
        <f t="shared" si="22"/>
        <v>256.32</v>
      </c>
    </row>
    <row r="42" spans="3:28" ht="21.75" customHeight="1" x14ac:dyDescent="0.3">
      <c r="C42" s="144"/>
      <c r="D42" s="158"/>
      <c r="E42" s="158"/>
      <c r="T42" s="275">
        <v>3.5</v>
      </c>
      <c r="U42" s="276">
        <v>24</v>
      </c>
      <c r="V42" s="277">
        <v>12</v>
      </c>
      <c r="W42" s="276">
        <f t="shared" si="17"/>
        <v>12</v>
      </c>
      <c r="X42" s="276">
        <f t="shared" si="18"/>
        <v>3</v>
      </c>
      <c r="Y42" s="276">
        <f t="shared" si="19"/>
        <v>1.5</v>
      </c>
      <c r="Z42" s="276">
        <f t="shared" si="20"/>
        <v>8</v>
      </c>
      <c r="AA42" s="278" t="str">
        <f t="shared" si="21"/>
        <v>8   *  1.5</v>
      </c>
      <c r="AB42" s="275">
        <f t="shared" si="22"/>
        <v>85.44</v>
      </c>
    </row>
    <row r="43" spans="3:28" ht="21.75" customHeight="1" x14ac:dyDescent="0.3">
      <c r="C43" s="144"/>
      <c r="D43" s="158"/>
      <c r="E43" s="158"/>
      <c r="T43" s="136"/>
      <c r="U43" s="262"/>
      <c r="V43" s="263"/>
      <c r="W43" s="262"/>
      <c r="X43" s="262"/>
      <c r="Y43" s="262"/>
      <c r="Z43" s="262"/>
      <c r="AA43" s="268"/>
      <c r="AB43" s="136">
        <f>SUM(AB35:AB42)</f>
        <v>982.56</v>
      </c>
    </row>
    <row r="44" spans="3:28" ht="21.75" customHeight="1" x14ac:dyDescent="0.3">
      <c r="C44" s="144"/>
      <c r="D44" s="158"/>
      <c r="E44" s="158"/>
      <c r="T44" s="275">
        <v>12</v>
      </c>
      <c r="U44" s="276">
        <v>4</v>
      </c>
      <c r="V44" s="277">
        <v>12</v>
      </c>
      <c r="W44" s="276">
        <f t="shared" ref="W44:W48" si="24">IF(V44=6,6,12)</f>
        <v>12</v>
      </c>
      <c r="X44" s="276">
        <f>ROUNDDOWN(IF(T44=0,0,W44/T44),0)</f>
        <v>1</v>
      </c>
      <c r="Y44" s="276">
        <f>IF(T44=0,0,W44-X44*T44)</f>
        <v>0</v>
      </c>
      <c r="Z44" s="276">
        <f>IF(X44=0,0,ROUNDUP(U44/X44,0))</f>
        <v>4</v>
      </c>
      <c r="AA44" s="278" t="str">
        <f t="shared" ref="AA44:AA48" si="25">IF(Y44=0,"1   *   "&amp;ROUND(AC44,1),Z44&amp;"   *  "&amp;ROUNDUP(Y44,1))</f>
        <v>1   *   0</v>
      </c>
      <c r="AB44" s="275">
        <f t="shared" si="11"/>
        <v>42.72</v>
      </c>
    </row>
    <row r="45" spans="3:28" ht="21.75" customHeight="1" x14ac:dyDescent="0.3">
      <c r="C45" s="144"/>
      <c r="D45" s="158"/>
      <c r="E45" s="158"/>
      <c r="T45" s="272">
        <v>2</v>
      </c>
      <c r="U45" s="273">
        <v>4</v>
      </c>
      <c r="V45" s="274">
        <v>12</v>
      </c>
      <c r="W45" s="262">
        <f t="shared" si="24"/>
        <v>12</v>
      </c>
      <c r="X45" s="262">
        <f>ROUNDDOWN(IF(T45=0,0,W45/T45),0)</f>
        <v>6</v>
      </c>
      <c r="Y45" s="262">
        <f>IF(T45=0,0,W45-X45*T45)</f>
        <v>0</v>
      </c>
      <c r="Z45" s="262">
        <f>IF(X45=0,0,ROUNDUP(U45/X45,0))</f>
        <v>1</v>
      </c>
      <c r="AA45" s="268" t="str">
        <f t="shared" si="25"/>
        <v>1   *   0</v>
      </c>
      <c r="AB45" s="136">
        <f t="shared" si="11"/>
        <v>10.68</v>
      </c>
    </row>
    <row r="46" spans="3:28" ht="21.75" customHeight="1" x14ac:dyDescent="0.3">
      <c r="C46" s="144"/>
      <c r="D46" s="158"/>
      <c r="E46" s="158"/>
      <c r="T46" s="275">
        <v>9.3000000000000007</v>
      </c>
      <c r="U46" s="276">
        <v>4</v>
      </c>
      <c r="V46" s="277">
        <v>12</v>
      </c>
      <c r="W46" s="276">
        <f t="shared" si="24"/>
        <v>12</v>
      </c>
      <c r="X46" s="276">
        <f>ROUNDDOWN(IF(T46=0,0,W46/T46),0)</f>
        <v>1</v>
      </c>
      <c r="Y46" s="276">
        <f>IF(T46=0,0,W46-X46*T46)</f>
        <v>2.6999999999999993</v>
      </c>
      <c r="Z46" s="276">
        <f>IF(X46=0,0,ROUNDUP(U46/X46,0))</f>
        <v>4</v>
      </c>
      <c r="AA46" s="278" t="str">
        <f t="shared" si="25"/>
        <v>4   *  2.7</v>
      </c>
      <c r="AB46" s="275">
        <f t="shared" si="11"/>
        <v>42.72</v>
      </c>
    </row>
    <row r="47" spans="3:28" ht="21.75" customHeight="1" x14ac:dyDescent="0.3">
      <c r="C47" s="144"/>
      <c r="D47" s="158"/>
      <c r="E47" s="158"/>
      <c r="R47" s="260"/>
      <c r="T47" s="275">
        <v>5.7</v>
      </c>
      <c r="U47" s="276">
        <v>4</v>
      </c>
      <c r="V47" s="277">
        <v>12</v>
      </c>
      <c r="W47" s="276">
        <f t="shared" si="24"/>
        <v>12</v>
      </c>
      <c r="X47" s="276">
        <f>ROUNDDOWN(IF(T47=0,0,W47/T47),0)</f>
        <v>2</v>
      </c>
      <c r="Y47" s="276">
        <f>IF(T47=0,0,W47-X47*T47)</f>
        <v>0.59999999999999964</v>
      </c>
      <c r="Z47" s="276">
        <f>IF(X47=0,0,ROUNDUP(U47/X47,0))</f>
        <v>2</v>
      </c>
      <c r="AA47" s="278" t="str">
        <f t="shared" si="25"/>
        <v>2   *  0.6</v>
      </c>
      <c r="AB47" s="275">
        <f t="shared" si="11"/>
        <v>21.36</v>
      </c>
    </row>
    <row r="48" spans="3:28" ht="21.75" customHeight="1" x14ac:dyDescent="0.3">
      <c r="C48" s="144"/>
      <c r="D48" s="158"/>
      <c r="E48" s="158"/>
      <c r="R48" s="260"/>
      <c r="T48" s="275">
        <v>4</v>
      </c>
      <c r="U48" s="276">
        <v>4</v>
      </c>
      <c r="V48" s="277">
        <v>12</v>
      </c>
      <c r="W48" s="276">
        <f t="shared" si="24"/>
        <v>12</v>
      </c>
      <c r="X48" s="276">
        <f>ROUNDDOWN(IF(T48=0,0,W48/T48),0)</f>
        <v>3</v>
      </c>
      <c r="Y48" s="276">
        <f>IF(T48=0,0,W48-X48*T48)</f>
        <v>0</v>
      </c>
      <c r="Z48" s="276">
        <f>IF(X48=0,0,ROUNDUP(U48/X48,0))</f>
        <v>2</v>
      </c>
      <c r="AA48" s="278" t="str">
        <f t="shared" si="25"/>
        <v>1   *   0</v>
      </c>
      <c r="AB48" s="275">
        <f t="shared" si="11"/>
        <v>21.36</v>
      </c>
    </row>
    <row r="49" spans="3:28" ht="21.75" customHeight="1" x14ac:dyDescent="0.3">
      <c r="C49" s="144"/>
      <c r="D49" s="158"/>
      <c r="E49" s="158"/>
      <c r="T49" s="136"/>
      <c r="U49" s="262"/>
      <c r="V49" s="263"/>
      <c r="W49" s="262"/>
      <c r="X49" s="262"/>
      <c r="Y49" s="262"/>
      <c r="Z49" s="262"/>
      <c r="AA49" s="268"/>
      <c r="AB49" s="136">
        <f>SUM(AB44:AB48)</f>
        <v>138.84</v>
      </c>
    </row>
    <row r="50" spans="3:28" ht="21.75" customHeight="1" x14ac:dyDescent="0.3">
      <c r="C50" s="144"/>
      <c r="D50" s="158"/>
      <c r="E50" s="158"/>
      <c r="AB50" s="261">
        <f>AB49+AB43+AB34+AB27</f>
        <v>2050.56</v>
      </c>
    </row>
    <row r="51" spans="3:28" ht="21.75" customHeight="1" x14ac:dyDescent="0.3">
      <c r="C51" s="144"/>
      <c r="D51" s="158"/>
      <c r="E51" s="158"/>
      <c r="AB51" s="261">
        <f>AB50+AB18</f>
        <v>2691.3599999999997</v>
      </c>
    </row>
    <row r="52" spans="3:28" ht="21.75" customHeight="1" x14ac:dyDescent="0.3">
      <c r="C52" s="144"/>
      <c r="D52" s="158"/>
      <c r="E52" s="158"/>
      <c r="AB52" s="270">
        <f>2179+725</f>
        <v>2904</v>
      </c>
    </row>
    <row r="53" spans="3:28" ht="21.75" customHeight="1" x14ac:dyDescent="0.3">
      <c r="C53" s="144"/>
      <c r="D53" s="158"/>
      <c r="E53" s="158"/>
    </row>
    <row r="54" spans="3:28" ht="21.75" customHeight="1" x14ac:dyDescent="0.3">
      <c r="C54" s="144"/>
      <c r="D54" s="158"/>
      <c r="E54" s="158"/>
    </row>
    <row r="55" spans="3:28" ht="21.75" customHeight="1" x14ac:dyDescent="0.3">
      <c r="C55" s="144"/>
      <c r="D55" s="158"/>
      <c r="E55" s="158"/>
    </row>
    <row r="56" spans="3:28" ht="21.75" customHeight="1" x14ac:dyDescent="0.3">
      <c r="C56" s="144"/>
      <c r="D56" s="158"/>
      <c r="E56" s="158"/>
    </row>
    <row r="57" spans="3:28" ht="21.75" customHeight="1" x14ac:dyDescent="0.3">
      <c r="C57" s="144"/>
      <c r="D57" s="158"/>
      <c r="E57" s="158"/>
    </row>
    <row r="58" spans="3:28" ht="21.75" customHeight="1" x14ac:dyDescent="0.3">
      <c r="C58" s="144"/>
      <c r="D58" s="158"/>
      <c r="E58" s="158"/>
    </row>
    <row r="59" spans="3:28" ht="21.75" customHeight="1" x14ac:dyDescent="0.3">
      <c r="C59" s="144"/>
      <c r="D59" s="158"/>
      <c r="E59" s="158"/>
    </row>
    <row r="60" spans="3:28" ht="21.75" customHeight="1" x14ac:dyDescent="0.3">
      <c r="C60" s="144"/>
      <c r="D60" s="158"/>
      <c r="E60" s="158"/>
      <c r="H60" s="144"/>
      <c r="I60" s="159"/>
      <c r="J60" s="159"/>
      <c r="K60" s="159"/>
      <c r="L60" s="159"/>
      <c r="M60" s="159"/>
      <c r="N60" s="159"/>
    </row>
    <row r="61" spans="3:28" ht="21.75" customHeight="1" x14ac:dyDescent="0.3">
      <c r="C61" s="144"/>
      <c r="D61" s="158"/>
      <c r="E61" s="158"/>
      <c r="H61" s="144"/>
      <c r="I61" s="159"/>
      <c r="J61" s="159"/>
      <c r="K61" s="159"/>
      <c r="L61" s="159"/>
      <c r="M61" s="159"/>
      <c r="N61" s="159"/>
    </row>
    <row r="62" spans="3:28" ht="21.75" customHeight="1" x14ac:dyDescent="0.3">
      <c r="C62" s="144"/>
      <c r="D62" s="158"/>
      <c r="E62" s="158"/>
      <c r="H62" s="144"/>
      <c r="I62" s="159"/>
      <c r="J62" s="159"/>
      <c r="K62" s="159"/>
      <c r="L62" s="159"/>
      <c r="M62" s="159"/>
      <c r="N62" s="159"/>
    </row>
    <row r="63" spans="3:28" ht="21.75" customHeight="1" x14ac:dyDescent="0.3">
      <c r="C63" s="144"/>
      <c r="D63" s="158"/>
      <c r="E63" s="158"/>
      <c r="H63" s="144"/>
      <c r="I63" s="159"/>
      <c r="J63" s="159"/>
      <c r="K63" s="159"/>
      <c r="L63" s="159"/>
      <c r="M63" s="159"/>
      <c r="N63" s="159"/>
    </row>
    <row r="64" spans="3:28" ht="21.75" customHeight="1" x14ac:dyDescent="0.3">
      <c r="C64" s="144"/>
      <c r="D64" s="158"/>
      <c r="E64" s="158"/>
      <c r="H64" s="144"/>
      <c r="I64" s="159"/>
      <c r="J64" s="159"/>
      <c r="K64" s="159"/>
      <c r="L64" s="159"/>
      <c r="M64" s="159"/>
      <c r="N64" s="159"/>
    </row>
    <row r="65" spans="3:14" ht="21.75" customHeight="1" x14ac:dyDescent="0.3">
      <c r="C65" s="144"/>
      <c r="D65" s="158"/>
      <c r="E65" s="158"/>
      <c r="H65" s="144"/>
      <c r="I65" s="159"/>
      <c r="J65" s="159"/>
      <c r="K65" s="159"/>
      <c r="L65" s="159"/>
      <c r="M65" s="159"/>
      <c r="N65" s="159"/>
    </row>
    <row r="66" spans="3:14" ht="21.75" customHeight="1" x14ac:dyDescent="0.3">
      <c r="C66" s="144"/>
      <c r="D66" s="158"/>
      <c r="E66" s="158"/>
      <c r="H66" s="144"/>
      <c r="I66" s="159"/>
      <c r="J66" s="159"/>
      <c r="K66" s="159"/>
      <c r="L66" s="159"/>
      <c r="M66" s="159"/>
      <c r="N66" s="159"/>
    </row>
    <row r="67" spans="3:14" ht="21.75" customHeight="1" x14ac:dyDescent="0.3">
      <c r="C67" s="144"/>
      <c r="D67" s="158"/>
      <c r="E67" s="158"/>
      <c r="H67" s="144"/>
      <c r="I67" s="159"/>
      <c r="J67" s="159"/>
      <c r="K67" s="159"/>
      <c r="L67" s="159"/>
      <c r="M67" s="159"/>
      <c r="N67" s="159"/>
    </row>
    <row r="68" spans="3:14" ht="21.75" customHeight="1" x14ac:dyDescent="0.3">
      <c r="C68" s="144"/>
      <c r="D68" s="158"/>
      <c r="E68" s="158"/>
      <c r="H68" s="144"/>
      <c r="I68" s="159"/>
      <c r="J68" s="159"/>
      <c r="K68" s="159"/>
      <c r="L68" s="159"/>
      <c r="M68" s="159"/>
      <c r="N68" s="159"/>
    </row>
    <row r="69" spans="3:14" ht="21.75" customHeight="1" x14ac:dyDescent="0.3">
      <c r="C69" s="144"/>
      <c r="D69" s="158"/>
      <c r="E69" s="158"/>
      <c r="H69" s="144"/>
      <c r="I69" s="159"/>
      <c r="J69" s="159"/>
      <c r="K69" s="159"/>
      <c r="L69" s="159"/>
      <c r="M69" s="159"/>
      <c r="N69" s="159"/>
    </row>
    <row r="70" spans="3:14" ht="21.75" customHeight="1" x14ac:dyDescent="0.3">
      <c r="C70" s="144"/>
      <c r="D70" s="158"/>
      <c r="E70" s="158"/>
      <c r="H70" s="144"/>
      <c r="I70" s="159"/>
      <c r="J70" s="159"/>
      <c r="K70" s="159"/>
      <c r="L70" s="159"/>
      <c r="M70" s="159"/>
      <c r="N70" s="159"/>
    </row>
    <row r="71" spans="3:14" ht="21.75" customHeight="1" x14ac:dyDescent="0.3">
      <c r="C71" s="144"/>
      <c r="D71" s="158"/>
      <c r="E71" s="158"/>
      <c r="H71" s="144"/>
      <c r="I71" s="159"/>
      <c r="J71" s="159"/>
      <c r="K71" s="159"/>
      <c r="L71" s="159"/>
      <c r="M71" s="159"/>
      <c r="N71" s="159"/>
    </row>
    <row r="72" spans="3:14" ht="21.75" customHeight="1" x14ac:dyDescent="0.3">
      <c r="C72" s="144"/>
      <c r="D72" s="158"/>
      <c r="E72" s="158"/>
      <c r="H72" s="144"/>
      <c r="I72" s="159"/>
      <c r="J72" s="159"/>
      <c r="K72" s="159"/>
      <c r="L72" s="159"/>
      <c r="M72" s="159"/>
      <c r="N72" s="159"/>
    </row>
    <row r="73" spans="3:14" ht="21.75" customHeight="1" x14ac:dyDescent="0.3">
      <c r="C73" s="144"/>
      <c r="D73" s="158"/>
      <c r="E73" s="158"/>
      <c r="H73" s="144"/>
      <c r="I73" s="159"/>
      <c r="J73" s="159"/>
      <c r="K73" s="159"/>
      <c r="L73" s="159"/>
      <c r="M73" s="159"/>
      <c r="N73" s="159"/>
    </row>
    <row r="74" spans="3:14" ht="21.75" customHeight="1" x14ac:dyDescent="0.3">
      <c r="C74" s="144"/>
      <c r="D74" s="158"/>
      <c r="E74" s="158"/>
      <c r="H74" s="144"/>
      <c r="I74" s="159"/>
      <c r="J74" s="159"/>
      <c r="K74" s="159"/>
      <c r="L74" s="159"/>
      <c r="M74" s="159"/>
      <c r="N74" s="159"/>
    </row>
    <row r="75" spans="3:14" ht="21.75" customHeight="1" x14ac:dyDescent="0.3">
      <c r="C75" s="144"/>
      <c r="D75" s="158"/>
      <c r="E75" s="158"/>
      <c r="H75" s="144"/>
      <c r="I75" s="159"/>
      <c r="J75" s="159"/>
      <c r="K75" s="159"/>
      <c r="L75" s="159"/>
      <c r="M75" s="159"/>
      <c r="N75" s="159"/>
    </row>
    <row r="76" spans="3:14" ht="21.75" hidden="1" customHeight="1" x14ac:dyDescent="0.3">
      <c r="C76" s="144"/>
      <c r="D76" s="158"/>
      <c r="E76" s="158"/>
      <c r="H76" s="144"/>
      <c r="I76" s="159"/>
      <c r="J76" s="159"/>
      <c r="K76" s="159"/>
      <c r="L76" s="159"/>
      <c r="M76" s="159"/>
      <c r="N76" s="159"/>
    </row>
    <row r="77" spans="3:14" hidden="1" x14ac:dyDescent="0.3">
      <c r="C77" s="144"/>
      <c r="E77" s="144"/>
    </row>
    <row r="78" spans="3:14" hidden="1" x14ac:dyDescent="0.3">
      <c r="H78" s="144"/>
      <c r="I78" s="144"/>
    </row>
    <row r="79" spans="3:14" hidden="1" x14ac:dyDescent="0.3">
      <c r="C79" s="294" t="s">
        <v>72</v>
      </c>
      <c r="D79" s="294"/>
      <c r="E79" s="294"/>
      <c r="F79" s="294"/>
      <c r="H79" s="144"/>
      <c r="I79" s="144"/>
    </row>
    <row r="80" spans="3:14" hidden="1" x14ac:dyDescent="0.3">
      <c r="C80" s="134" t="s">
        <v>39</v>
      </c>
      <c r="D80" s="134" t="s">
        <v>5</v>
      </c>
      <c r="E80" s="134" t="s">
        <v>7</v>
      </c>
      <c r="F80" s="134" t="s">
        <v>13</v>
      </c>
    </row>
    <row r="81" spans="3:11" ht="27.75" hidden="1" customHeight="1" x14ac:dyDescent="0.3">
      <c r="C81" s="134">
        <v>1.5</v>
      </c>
      <c r="D81" s="134">
        <v>12</v>
      </c>
      <c r="E81" s="134">
        <f>D81*C81</f>
        <v>18</v>
      </c>
      <c r="F81" s="134">
        <f>ROUNDUP(E81*5+500,0)</f>
        <v>590</v>
      </c>
    </row>
    <row r="82" spans="3:11" hidden="1" x14ac:dyDescent="0.3"/>
    <row r="83" spans="3:11" hidden="1" x14ac:dyDescent="0.3"/>
    <row r="84" spans="3:11" ht="18.600000000000001" hidden="1" thickBot="1" x14ac:dyDescent="0.35">
      <c r="C84" s="312" t="s">
        <v>0</v>
      </c>
      <c r="D84" s="313"/>
      <c r="E84" s="313"/>
      <c r="F84" s="313"/>
      <c r="G84" s="313"/>
      <c r="H84" s="313"/>
      <c r="I84" s="313"/>
      <c r="J84" s="313"/>
      <c r="K84" s="314"/>
    </row>
    <row r="85" spans="3:11" hidden="1" x14ac:dyDescent="0.3">
      <c r="C85" s="322" t="s">
        <v>1</v>
      </c>
      <c r="D85" s="310"/>
      <c r="E85" s="310"/>
      <c r="F85" s="310" t="s">
        <v>6</v>
      </c>
      <c r="G85" s="310" t="s">
        <v>5</v>
      </c>
      <c r="H85" s="310" t="s">
        <v>7</v>
      </c>
      <c r="I85" s="310" t="s">
        <v>80</v>
      </c>
      <c r="J85" s="310" t="s">
        <v>8</v>
      </c>
      <c r="K85" s="315" t="s">
        <v>13</v>
      </c>
    </row>
    <row r="86" spans="3:11" hidden="1" x14ac:dyDescent="0.3">
      <c r="C86" s="164" t="s">
        <v>2</v>
      </c>
      <c r="D86" s="165" t="s">
        <v>3</v>
      </c>
      <c r="E86" s="165" t="s">
        <v>4</v>
      </c>
      <c r="F86" s="311"/>
      <c r="G86" s="311"/>
      <c r="H86" s="311"/>
      <c r="I86" s="311"/>
      <c r="J86" s="311"/>
      <c r="K86" s="316"/>
    </row>
    <row r="87" spans="3:11" hidden="1" x14ac:dyDescent="0.3">
      <c r="C87" s="164" t="s">
        <v>32</v>
      </c>
      <c r="D87" s="165" t="s">
        <v>32</v>
      </c>
      <c r="E87" s="165" t="s">
        <v>32</v>
      </c>
      <c r="F87" s="165" t="s">
        <v>34</v>
      </c>
      <c r="G87" s="165" t="s">
        <v>35</v>
      </c>
      <c r="H87" s="165" t="s">
        <v>34</v>
      </c>
      <c r="I87" s="165" t="s">
        <v>36</v>
      </c>
      <c r="J87" s="165" t="s">
        <v>34</v>
      </c>
      <c r="K87" s="166" t="s">
        <v>37</v>
      </c>
    </row>
    <row r="88" spans="3:11" hidden="1" x14ac:dyDescent="0.3">
      <c r="C88" s="164">
        <v>160</v>
      </c>
      <c r="D88" s="165">
        <v>125</v>
      </c>
      <c r="E88" s="165">
        <v>50</v>
      </c>
      <c r="F88" s="165">
        <f>E88*D88*C88/1000000</f>
        <v>1</v>
      </c>
      <c r="G88" s="165">
        <v>12</v>
      </c>
      <c r="H88" s="165">
        <f>F88*G88</f>
        <v>12</v>
      </c>
      <c r="I88" s="165">
        <f>H88*7/20</f>
        <v>4.2</v>
      </c>
      <c r="J88" s="165">
        <f>H88*1.2</f>
        <v>14.399999999999999</v>
      </c>
      <c r="K88" s="167">
        <f>IF(G88=0,0,J88*$E$8+I88*$E$7+200+H88*8+(H88*0.07*$E$4))</f>
        <v>1577.4134453781512</v>
      </c>
    </row>
    <row r="89" spans="3:11" hidden="1" x14ac:dyDescent="0.3">
      <c r="C89" s="168">
        <v>0</v>
      </c>
      <c r="D89" s="169">
        <v>0</v>
      </c>
      <c r="E89" s="169">
        <v>0</v>
      </c>
      <c r="F89" s="169">
        <f>E89*D89*C89/1000000</f>
        <v>0</v>
      </c>
      <c r="G89" s="169">
        <v>0</v>
      </c>
      <c r="H89" s="169">
        <f>F89*G89</f>
        <v>0</v>
      </c>
      <c r="I89" s="169">
        <f>H89*7/20</f>
        <v>0</v>
      </c>
      <c r="J89" s="169">
        <f>H89*1.2</f>
        <v>0</v>
      </c>
      <c r="K89" s="167">
        <f>IF(G89=0,0,J89*$E$8+I89*$E$7+200+H89*8+(H89*0.07*$E$4))</f>
        <v>0</v>
      </c>
    </row>
    <row r="90" spans="3:11" ht="23.25" hidden="1" customHeight="1" thickBot="1" x14ac:dyDescent="0.35">
      <c r="C90" s="320" t="s">
        <v>14</v>
      </c>
      <c r="D90" s="321"/>
      <c r="E90" s="321"/>
      <c r="F90" s="321"/>
      <c r="G90" s="321"/>
      <c r="H90" s="170">
        <f>SUM(H88:H89)</f>
        <v>12</v>
      </c>
      <c r="I90" s="170">
        <f>SUM(I88:I89)</f>
        <v>4.2</v>
      </c>
      <c r="J90" s="170">
        <f>SUM(J88:J89)</f>
        <v>14.399999999999999</v>
      </c>
      <c r="K90" s="171">
        <f>ROUNDUP(SUM(K88:K89),0)</f>
        <v>1578</v>
      </c>
    </row>
    <row r="91" spans="3:11" hidden="1" x14ac:dyDescent="0.3"/>
    <row r="92" spans="3:11" hidden="1" x14ac:dyDescent="0.3"/>
    <row r="93" spans="3:11" ht="18.600000000000001" hidden="1" thickBot="1" x14ac:dyDescent="0.35">
      <c r="C93" s="312" t="s">
        <v>9</v>
      </c>
      <c r="D93" s="313"/>
      <c r="E93" s="313"/>
      <c r="F93" s="313"/>
      <c r="G93" s="313"/>
      <c r="H93" s="313"/>
      <c r="I93" s="313"/>
      <c r="J93" s="313"/>
      <c r="K93" s="314"/>
    </row>
    <row r="94" spans="3:11" ht="18.75" hidden="1" customHeight="1" x14ac:dyDescent="0.3">
      <c r="C94" s="322" t="s">
        <v>1</v>
      </c>
      <c r="D94" s="310"/>
      <c r="E94" s="310"/>
      <c r="F94" s="310" t="s">
        <v>10</v>
      </c>
      <c r="G94" s="310" t="s">
        <v>11</v>
      </c>
      <c r="H94" s="310" t="s">
        <v>7</v>
      </c>
      <c r="I94" s="310" t="s">
        <v>80</v>
      </c>
      <c r="J94" s="310" t="s">
        <v>8</v>
      </c>
      <c r="K94" s="315" t="s">
        <v>13</v>
      </c>
    </row>
    <row r="95" spans="3:11" hidden="1" x14ac:dyDescent="0.3">
      <c r="C95" s="164" t="s">
        <v>2</v>
      </c>
      <c r="D95" s="165" t="s">
        <v>3</v>
      </c>
      <c r="E95" s="165" t="s">
        <v>15</v>
      </c>
      <c r="F95" s="311"/>
      <c r="G95" s="311"/>
      <c r="H95" s="311"/>
      <c r="I95" s="311"/>
      <c r="J95" s="311"/>
      <c r="K95" s="316"/>
    </row>
    <row r="96" spans="3:11" hidden="1" x14ac:dyDescent="0.3">
      <c r="C96" s="164" t="s">
        <v>32</v>
      </c>
      <c r="D96" s="165" t="s">
        <v>32</v>
      </c>
      <c r="E96" s="165" t="s">
        <v>32</v>
      </c>
      <c r="F96" s="165" t="s">
        <v>34</v>
      </c>
      <c r="G96" s="165" t="s">
        <v>35</v>
      </c>
      <c r="H96" s="165" t="s">
        <v>34</v>
      </c>
      <c r="I96" s="165" t="s">
        <v>36</v>
      </c>
      <c r="J96" s="165" t="s">
        <v>34</v>
      </c>
      <c r="K96" s="166" t="s">
        <v>37</v>
      </c>
    </row>
    <row r="97" spans="3:11" hidden="1" x14ac:dyDescent="0.3">
      <c r="C97" s="164">
        <v>60</v>
      </c>
      <c r="D97" s="165">
        <v>25</v>
      </c>
      <c r="E97" s="165">
        <v>100</v>
      </c>
      <c r="F97" s="165">
        <f>E97*D97*C97/1000000</f>
        <v>0.15</v>
      </c>
      <c r="G97" s="165">
        <v>12</v>
      </c>
      <c r="H97" s="165">
        <f>F97*G97</f>
        <v>1.7999999999999998</v>
      </c>
      <c r="I97" s="165">
        <f>H97*7/20</f>
        <v>0.62999999999999989</v>
      </c>
      <c r="J97" s="165">
        <f>H97*1.2</f>
        <v>2.1599999999999997</v>
      </c>
      <c r="K97" s="166">
        <f>J97*$E$8+I97*$E$7+G97*18+(H97*0.14*$E$4)</f>
        <v>489.48201680672264</v>
      </c>
    </row>
    <row r="98" spans="3:11" hidden="1" x14ac:dyDescent="0.3">
      <c r="C98" s="164">
        <v>60</v>
      </c>
      <c r="D98" s="165">
        <v>25</v>
      </c>
      <c r="E98" s="165">
        <v>500</v>
      </c>
      <c r="F98" s="165">
        <f>E98*D98*C98/1000000</f>
        <v>0.75</v>
      </c>
      <c r="G98" s="165">
        <v>12</v>
      </c>
      <c r="H98" s="165">
        <f>F98*G98</f>
        <v>9</v>
      </c>
      <c r="I98" s="165">
        <f>H98*7/20</f>
        <v>3.15</v>
      </c>
      <c r="J98" s="165">
        <f>H98*1.2</f>
        <v>10.799999999999999</v>
      </c>
      <c r="K98" s="166">
        <f>J98*$E$8+I98*$E$7+G98*18+(H98*0.14*$E$4)</f>
        <v>1583.4100840336137</v>
      </c>
    </row>
    <row r="99" spans="3:11" hidden="1" x14ac:dyDescent="0.3">
      <c r="C99" s="164">
        <v>50</v>
      </c>
      <c r="D99" s="165">
        <v>25</v>
      </c>
      <c r="E99" s="165">
        <v>325</v>
      </c>
      <c r="F99" s="165">
        <f>E99*D99*C99/1000000</f>
        <v>0.40625</v>
      </c>
      <c r="G99" s="165">
        <v>12</v>
      </c>
      <c r="H99" s="165">
        <f>F99*G99</f>
        <v>4.875</v>
      </c>
      <c r="I99" s="165">
        <f>H99*7/20</f>
        <v>1.70625</v>
      </c>
      <c r="J99" s="165">
        <f>H99*1.2</f>
        <v>5.85</v>
      </c>
      <c r="K99" s="166">
        <f>J99*$E$8+I99*$E$7+G99*18+(H99*0.14*$E$4)</f>
        <v>956.68046218487405</v>
      </c>
    </row>
    <row r="100" spans="3:11" hidden="1" x14ac:dyDescent="0.3">
      <c r="C100" s="164">
        <v>50</v>
      </c>
      <c r="D100" s="165">
        <v>25</v>
      </c>
      <c r="E100" s="165">
        <v>325</v>
      </c>
      <c r="F100" s="165">
        <f>E100*D100*C100/1000000</f>
        <v>0.40625</v>
      </c>
      <c r="G100" s="165">
        <v>12</v>
      </c>
      <c r="H100" s="165">
        <f>F100*G100</f>
        <v>4.875</v>
      </c>
      <c r="I100" s="165">
        <f>H100*7/20</f>
        <v>1.70625</v>
      </c>
      <c r="J100" s="165">
        <f>H100*1.2</f>
        <v>5.85</v>
      </c>
      <c r="K100" s="166">
        <f>J100*$E$8+I100*$E$7+G100*18+(H100*0.14*$E$4)</f>
        <v>956.68046218487405</v>
      </c>
    </row>
    <row r="101" spans="3:11" ht="23.25" hidden="1" customHeight="1" thickBot="1" x14ac:dyDescent="0.35">
      <c r="C101" s="320" t="s">
        <v>14</v>
      </c>
      <c r="D101" s="321"/>
      <c r="E101" s="321"/>
      <c r="F101" s="321"/>
      <c r="G101" s="321"/>
      <c r="H101" s="170">
        <f>SUM(H97:H100)</f>
        <v>20.55</v>
      </c>
      <c r="I101" s="170">
        <f>SUM(I97:I100)</f>
        <v>7.1924999999999999</v>
      </c>
      <c r="J101" s="170">
        <f>SUM(J97:J100)</f>
        <v>24.659999999999997</v>
      </c>
      <c r="K101" s="171">
        <f>ROUNDUP(SUM(K97:K100),0)</f>
        <v>3987</v>
      </c>
    </row>
    <row r="102" spans="3:11" hidden="1" x14ac:dyDescent="0.3"/>
    <row r="103" spans="3:11" hidden="1" x14ac:dyDescent="0.3"/>
    <row r="104" spans="3:11" ht="18.600000000000001" hidden="1" thickBot="1" x14ac:dyDescent="0.35">
      <c r="C104" s="312" t="s">
        <v>12</v>
      </c>
      <c r="D104" s="313"/>
      <c r="E104" s="313"/>
      <c r="F104" s="313"/>
      <c r="G104" s="313"/>
      <c r="H104" s="313"/>
      <c r="I104" s="313"/>
      <c r="J104" s="313"/>
      <c r="K104" s="314"/>
    </row>
    <row r="105" spans="3:11" ht="18.75" hidden="1" customHeight="1" x14ac:dyDescent="0.3">
      <c r="C105" s="322" t="s">
        <v>1</v>
      </c>
      <c r="D105" s="310"/>
      <c r="E105" s="310"/>
      <c r="F105" s="310" t="s">
        <v>16</v>
      </c>
      <c r="G105" s="310" t="s">
        <v>17</v>
      </c>
      <c r="H105" s="310" t="s">
        <v>7</v>
      </c>
      <c r="I105" s="310" t="s">
        <v>80</v>
      </c>
      <c r="J105" s="310" t="s">
        <v>8</v>
      </c>
      <c r="K105" s="315" t="s">
        <v>13</v>
      </c>
    </row>
    <row r="106" spans="3:11" hidden="1" x14ac:dyDescent="0.3">
      <c r="C106" s="164" t="s">
        <v>2</v>
      </c>
      <c r="D106" s="165" t="s">
        <v>3</v>
      </c>
      <c r="E106" s="165" t="s">
        <v>4</v>
      </c>
      <c r="F106" s="311"/>
      <c r="G106" s="311"/>
      <c r="H106" s="311"/>
      <c r="I106" s="311"/>
      <c r="J106" s="311"/>
      <c r="K106" s="316"/>
    </row>
    <row r="107" spans="3:11" hidden="1" x14ac:dyDescent="0.3">
      <c r="C107" s="164" t="s">
        <v>33</v>
      </c>
      <c r="D107" s="165" t="s">
        <v>32</v>
      </c>
      <c r="E107" s="165" t="s">
        <v>32</v>
      </c>
      <c r="F107" s="165" t="s">
        <v>34</v>
      </c>
      <c r="G107" s="165" t="s">
        <v>35</v>
      </c>
      <c r="H107" s="165" t="s">
        <v>34</v>
      </c>
      <c r="I107" s="165" t="s">
        <v>36</v>
      </c>
      <c r="J107" s="165" t="s">
        <v>34</v>
      </c>
      <c r="K107" s="166" t="s">
        <v>37</v>
      </c>
    </row>
    <row r="108" spans="3:11" hidden="1" x14ac:dyDescent="0.3">
      <c r="C108" s="164">
        <v>115</v>
      </c>
      <c r="D108" s="165">
        <v>25</v>
      </c>
      <c r="E108" s="165">
        <v>50</v>
      </c>
      <c r="F108" s="165">
        <f>E108*D108*C108/10000</f>
        <v>14.375</v>
      </c>
      <c r="G108" s="165">
        <v>1</v>
      </c>
      <c r="H108" s="165">
        <f t="shared" ref="H108:H113" si="26">F108*G108</f>
        <v>14.375</v>
      </c>
      <c r="I108" s="165">
        <f t="shared" ref="I108:I113" si="27">H108*7/20</f>
        <v>5.03125</v>
      </c>
      <c r="J108" s="165">
        <f t="shared" ref="J108:J113" si="28">H108*1.2</f>
        <v>17.25</v>
      </c>
      <c r="K108" s="166">
        <f t="shared" ref="K108:K113" si="29">IF(C108=0,0,J108*$E$8+I108*$E$7+(C108*3.5)+150+(H108*0.075*$E$4))</f>
        <v>2133.8858981092435</v>
      </c>
    </row>
    <row r="109" spans="3:11" hidden="1" x14ac:dyDescent="0.3">
      <c r="C109" s="164">
        <v>0</v>
      </c>
      <c r="D109" s="165">
        <v>0</v>
      </c>
      <c r="E109" s="165">
        <v>0</v>
      </c>
      <c r="F109" s="165">
        <f>E109*D109*C109/1000000</f>
        <v>0</v>
      </c>
      <c r="G109" s="165">
        <v>0</v>
      </c>
      <c r="H109" s="165">
        <f t="shared" si="26"/>
        <v>0</v>
      </c>
      <c r="I109" s="165">
        <f t="shared" si="27"/>
        <v>0</v>
      </c>
      <c r="J109" s="165">
        <f t="shared" si="28"/>
        <v>0</v>
      </c>
      <c r="K109" s="166">
        <f t="shared" si="29"/>
        <v>0</v>
      </c>
    </row>
    <row r="110" spans="3:11" hidden="1" x14ac:dyDescent="0.3">
      <c r="C110" s="164">
        <v>0</v>
      </c>
      <c r="D110" s="165">
        <v>0</v>
      </c>
      <c r="E110" s="165">
        <v>0</v>
      </c>
      <c r="F110" s="165">
        <f>E110*D110*C110/1000000</f>
        <v>0</v>
      </c>
      <c r="G110" s="165">
        <v>0</v>
      </c>
      <c r="H110" s="165">
        <f t="shared" si="26"/>
        <v>0</v>
      </c>
      <c r="I110" s="165">
        <f t="shared" si="27"/>
        <v>0</v>
      </c>
      <c r="J110" s="165">
        <f t="shared" si="28"/>
        <v>0</v>
      </c>
      <c r="K110" s="166">
        <f t="shared" si="29"/>
        <v>0</v>
      </c>
    </row>
    <row r="111" spans="3:11" hidden="1" x14ac:dyDescent="0.3">
      <c r="C111" s="164">
        <v>0</v>
      </c>
      <c r="D111" s="165">
        <v>0</v>
      </c>
      <c r="E111" s="165">
        <v>0</v>
      </c>
      <c r="F111" s="165">
        <f>E111*D111*C111/1000000</f>
        <v>0</v>
      </c>
      <c r="G111" s="165">
        <v>0</v>
      </c>
      <c r="H111" s="165">
        <f t="shared" si="26"/>
        <v>0</v>
      </c>
      <c r="I111" s="165">
        <f t="shared" si="27"/>
        <v>0</v>
      </c>
      <c r="J111" s="165">
        <f t="shared" si="28"/>
        <v>0</v>
      </c>
      <c r="K111" s="166">
        <f t="shared" si="29"/>
        <v>0</v>
      </c>
    </row>
    <row r="112" spans="3:11" hidden="1" x14ac:dyDescent="0.3">
      <c r="C112" s="164">
        <v>0</v>
      </c>
      <c r="D112" s="165">
        <v>0</v>
      </c>
      <c r="E112" s="165">
        <v>0</v>
      </c>
      <c r="F112" s="165">
        <f>E112*D112*C112/1000000</f>
        <v>0</v>
      </c>
      <c r="G112" s="165">
        <v>0</v>
      </c>
      <c r="H112" s="165">
        <f t="shared" si="26"/>
        <v>0</v>
      </c>
      <c r="I112" s="165">
        <f t="shared" si="27"/>
        <v>0</v>
      </c>
      <c r="J112" s="165">
        <f t="shared" si="28"/>
        <v>0</v>
      </c>
      <c r="K112" s="166">
        <f t="shared" si="29"/>
        <v>0</v>
      </c>
    </row>
    <row r="113" spans="3:11" hidden="1" x14ac:dyDescent="0.3">
      <c r="C113" s="168">
        <v>0</v>
      </c>
      <c r="D113" s="169">
        <v>0</v>
      </c>
      <c r="E113" s="169">
        <v>0</v>
      </c>
      <c r="F113" s="169">
        <f>E113*D113*C113/1000000</f>
        <v>0</v>
      </c>
      <c r="G113" s="169">
        <v>0</v>
      </c>
      <c r="H113" s="169">
        <f t="shared" si="26"/>
        <v>0</v>
      </c>
      <c r="I113" s="169">
        <f t="shared" si="27"/>
        <v>0</v>
      </c>
      <c r="J113" s="169">
        <f t="shared" si="28"/>
        <v>0</v>
      </c>
      <c r="K113" s="166">
        <f t="shared" si="29"/>
        <v>0</v>
      </c>
    </row>
    <row r="114" spans="3:11" ht="23.25" hidden="1" customHeight="1" thickBot="1" x14ac:dyDescent="0.35">
      <c r="C114" s="320" t="s">
        <v>14</v>
      </c>
      <c r="D114" s="321"/>
      <c r="E114" s="321"/>
      <c r="F114" s="321"/>
      <c r="G114" s="321"/>
      <c r="H114" s="170">
        <f>SUM(H108:H113)</f>
        <v>14.375</v>
      </c>
      <c r="I114" s="170">
        <f>SUM(I108:I113)</f>
        <v>5.03125</v>
      </c>
      <c r="J114" s="170">
        <f>SUM(J108:J113)</f>
        <v>17.25</v>
      </c>
      <c r="K114" s="171">
        <f>ROUNDUP(SUM(K108:K113),0)</f>
        <v>2134</v>
      </c>
    </row>
    <row r="115" spans="3:11" hidden="1" x14ac:dyDescent="0.3"/>
    <row r="116" spans="3:11" hidden="1" x14ac:dyDescent="0.3"/>
    <row r="117" spans="3:11" hidden="1" x14ac:dyDescent="0.3"/>
    <row r="118" spans="3:11" hidden="1" x14ac:dyDescent="0.3"/>
    <row r="119" spans="3:11" hidden="1" x14ac:dyDescent="0.3"/>
    <row r="120" spans="3:11" hidden="1" x14ac:dyDescent="0.3"/>
    <row r="121" spans="3:11" hidden="1" x14ac:dyDescent="0.3"/>
    <row r="122" spans="3:11" hidden="1" x14ac:dyDescent="0.3"/>
    <row r="123" spans="3:11" hidden="1" x14ac:dyDescent="0.3"/>
    <row r="124" spans="3:11" hidden="1" x14ac:dyDescent="0.3"/>
    <row r="125" spans="3:11" hidden="1" x14ac:dyDescent="0.3"/>
    <row r="126" spans="3:11" hidden="1" x14ac:dyDescent="0.3"/>
    <row r="127" spans="3:11" hidden="1" x14ac:dyDescent="0.3"/>
    <row r="128" spans="3:11" hidden="1" x14ac:dyDescent="0.3"/>
    <row r="129" spans="3:11" hidden="1" x14ac:dyDescent="0.3"/>
    <row r="130" spans="3:11" hidden="1" x14ac:dyDescent="0.3"/>
    <row r="131" spans="3:11" hidden="1" x14ac:dyDescent="0.3"/>
    <row r="132" spans="3:11" ht="18.600000000000001" hidden="1" thickBot="1" x14ac:dyDescent="0.35">
      <c r="C132" s="312" t="s">
        <v>59</v>
      </c>
      <c r="D132" s="313"/>
      <c r="E132" s="313"/>
      <c r="F132" s="313"/>
      <c r="G132" s="313"/>
      <c r="H132" s="313"/>
      <c r="I132" s="313"/>
      <c r="J132" s="313"/>
      <c r="K132" s="314"/>
    </row>
    <row r="133" spans="3:11" ht="18.75" hidden="1" customHeight="1" x14ac:dyDescent="0.3">
      <c r="C133" s="322" t="s">
        <v>1</v>
      </c>
      <c r="D133" s="310"/>
      <c r="E133" s="310"/>
      <c r="F133" s="310" t="s">
        <v>60</v>
      </c>
      <c r="G133" s="310" t="s">
        <v>61</v>
      </c>
      <c r="H133" s="310" t="s">
        <v>7</v>
      </c>
      <c r="I133" s="310" t="s">
        <v>80</v>
      </c>
      <c r="J133" s="310" t="s">
        <v>8</v>
      </c>
      <c r="K133" s="315" t="s">
        <v>13</v>
      </c>
    </row>
    <row r="134" spans="3:11" hidden="1" x14ac:dyDescent="0.3">
      <c r="C134" s="164" t="s">
        <v>2</v>
      </c>
      <c r="D134" s="165" t="s">
        <v>3</v>
      </c>
      <c r="E134" s="165" t="s">
        <v>15</v>
      </c>
      <c r="F134" s="311"/>
      <c r="G134" s="311"/>
      <c r="H134" s="311"/>
      <c r="I134" s="311"/>
      <c r="J134" s="311"/>
      <c r="K134" s="316"/>
    </row>
    <row r="135" spans="3:11" hidden="1" x14ac:dyDescent="0.3">
      <c r="C135" s="164" t="s">
        <v>33</v>
      </c>
      <c r="D135" s="165" t="s">
        <v>33</v>
      </c>
      <c r="E135" s="165" t="s">
        <v>32</v>
      </c>
      <c r="F135" s="165" t="s">
        <v>34</v>
      </c>
      <c r="G135" s="165" t="s">
        <v>35</v>
      </c>
      <c r="H135" s="165" t="s">
        <v>34</v>
      </c>
      <c r="I135" s="165" t="s">
        <v>36</v>
      </c>
      <c r="J135" s="165" t="s">
        <v>34</v>
      </c>
      <c r="K135" s="166" t="s">
        <v>37</v>
      </c>
    </row>
    <row r="136" spans="3:11" hidden="1" x14ac:dyDescent="0.3">
      <c r="C136" s="164">
        <v>13</v>
      </c>
      <c r="D136" s="165">
        <v>8</v>
      </c>
      <c r="E136" s="165">
        <v>10</v>
      </c>
      <c r="F136" s="165">
        <f>E136*D136*C136/100</f>
        <v>10.4</v>
      </c>
      <c r="G136" s="165">
        <v>1</v>
      </c>
      <c r="H136" s="165">
        <f>F136*G136</f>
        <v>10.4</v>
      </c>
      <c r="I136" s="165">
        <f>H136*7/20</f>
        <v>3.6399999999999997</v>
      </c>
      <c r="J136" s="165">
        <f>H136*1.2</f>
        <v>12.48</v>
      </c>
      <c r="K136" s="166">
        <f>J136*E8+I136*E7+H136*0.07*E4+150+H136*8</f>
        <v>1343.7583193277312</v>
      </c>
    </row>
    <row r="137" spans="3:11" ht="23.25" hidden="1" customHeight="1" thickBot="1" x14ac:dyDescent="0.35">
      <c r="C137" s="320" t="s">
        <v>14</v>
      </c>
      <c r="D137" s="321"/>
      <c r="E137" s="321"/>
      <c r="F137" s="321"/>
      <c r="G137" s="321"/>
      <c r="H137" s="170">
        <f>SUM(H136:H136)</f>
        <v>10.4</v>
      </c>
      <c r="I137" s="170">
        <f>SUM(I136:I136)</f>
        <v>3.6399999999999997</v>
      </c>
      <c r="J137" s="170">
        <f>SUM(J136:J136)</f>
        <v>12.48</v>
      </c>
      <c r="K137" s="171">
        <f>ROUNDUP(SUM(K136),0)</f>
        <v>1344</v>
      </c>
    </row>
    <row r="138" spans="3:11" hidden="1" x14ac:dyDescent="0.3"/>
    <row r="139" spans="3:11" hidden="1" x14ac:dyDescent="0.3"/>
    <row r="140" spans="3:11" hidden="1" x14ac:dyDescent="0.3"/>
    <row r="141" spans="3:11" ht="18.600000000000001" hidden="1" thickBot="1" x14ac:dyDescent="0.35">
      <c r="C141" s="312" t="s">
        <v>18</v>
      </c>
      <c r="D141" s="313"/>
      <c r="E141" s="313"/>
      <c r="F141" s="313"/>
      <c r="G141" s="313"/>
      <c r="H141" s="313"/>
      <c r="I141" s="313"/>
      <c r="J141" s="313"/>
      <c r="K141" s="314"/>
    </row>
    <row r="142" spans="3:11" ht="18.75" hidden="1" customHeight="1" x14ac:dyDescent="0.3">
      <c r="C142" s="322" t="s">
        <v>1</v>
      </c>
      <c r="D142" s="310"/>
      <c r="E142" s="310"/>
      <c r="F142" s="310" t="s">
        <v>19</v>
      </c>
      <c r="G142" s="310" t="s">
        <v>20</v>
      </c>
      <c r="H142" s="310" t="s">
        <v>21</v>
      </c>
      <c r="I142" s="310" t="s">
        <v>80</v>
      </c>
      <c r="J142" s="310" t="s">
        <v>8</v>
      </c>
      <c r="K142" s="315" t="s">
        <v>13</v>
      </c>
    </row>
    <row r="143" spans="3:11" hidden="1" x14ac:dyDescent="0.3">
      <c r="C143" s="164" t="s">
        <v>2</v>
      </c>
      <c r="D143" s="165" t="s">
        <v>3</v>
      </c>
      <c r="E143" s="165" t="s">
        <v>4</v>
      </c>
      <c r="F143" s="311"/>
      <c r="G143" s="311"/>
      <c r="H143" s="311"/>
      <c r="I143" s="311"/>
      <c r="J143" s="311"/>
      <c r="K143" s="316"/>
    </row>
    <row r="144" spans="3:11" hidden="1" x14ac:dyDescent="0.3">
      <c r="C144" s="164" t="s">
        <v>33</v>
      </c>
      <c r="D144" s="165" t="s">
        <v>33</v>
      </c>
      <c r="E144" s="165" t="s">
        <v>32</v>
      </c>
      <c r="F144" s="165" t="s">
        <v>34</v>
      </c>
      <c r="G144" s="165" t="s">
        <v>35</v>
      </c>
      <c r="H144" s="165" t="s">
        <v>34</v>
      </c>
      <c r="I144" s="165" t="s">
        <v>36</v>
      </c>
      <c r="J144" s="165" t="s">
        <v>34</v>
      </c>
      <c r="K144" s="166" t="s">
        <v>37</v>
      </c>
    </row>
    <row r="145" spans="3:15" hidden="1" x14ac:dyDescent="0.3">
      <c r="C145" s="172">
        <v>14.25</v>
      </c>
      <c r="D145" s="173">
        <v>9.25</v>
      </c>
      <c r="E145" s="165">
        <v>28</v>
      </c>
      <c r="F145" s="165">
        <f t="shared" ref="F145:F150" si="30">E145*D145*C145/100</f>
        <v>36.907499999999999</v>
      </c>
      <c r="G145" s="165">
        <f>ROUNDUP((F145*0.34)/(0.2*0.4*0.2),0)</f>
        <v>785</v>
      </c>
      <c r="H145" s="165">
        <f>F145*0.67</f>
        <v>24.728025000000002</v>
      </c>
      <c r="I145" s="165">
        <f>H145*7/20</f>
        <v>8.6548087500000008</v>
      </c>
      <c r="J145" s="165">
        <f>H145*1.2</f>
        <v>29.673630000000003</v>
      </c>
      <c r="K145" s="166">
        <f t="shared" ref="K145:K150" si="31">IF(C145=0,0,J145*$E$8+I145*$E$7+F145*8+150+(H145*0.11*$E$4)+(G145*$E$9))</f>
        <v>4086.6268137710085</v>
      </c>
    </row>
    <row r="146" spans="3:15" hidden="1" x14ac:dyDescent="0.3">
      <c r="C146" s="172">
        <v>14.25</v>
      </c>
      <c r="D146" s="173">
        <v>9.25</v>
      </c>
      <c r="E146" s="165">
        <v>28</v>
      </c>
      <c r="F146" s="165">
        <f t="shared" si="30"/>
        <v>36.907499999999999</v>
      </c>
      <c r="G146" s="165">
        <f t="shared" ref="G146:G150" si="32">ROUNDUP((F146*0.34)/(0.2*0.4*0.2),0)</f>
        <v>785</v>
      </c>
      <c r="H146" s="165">
        <f>F146*0.67</f>
        <v>24.728025000000002</v>
      </c>
      <c r="I146" s="165">
        <f>H146*7/20</f>
        <v>8.6548087500000008</v>
      </c>
      <c r="J146" s="165">
        <f>H146*1.2</f>
        <v>29.673630000000003</v>
      </c>
      <c r="K146" s="166">
        <f t="shared" si="31"/>
        <v>4086.6268137710085</v>
      </c>
    </row>
    <row r="147" spans="3:15" hidden="1" x14ac:dyDescent="0.3">
      <c r="C147" s="172">
        <v>14.25</v>
      </c>
      <c r="D147" s="173">
        <v>9.25</v>
      </c>
      <c r="E147" s="165">
        <v>28</v>
      </c>
      <c r="F147" s="165">
        <f t="shared" si="30"/>
        <v>36.907499999999999</v>
      </c>
      <c r="G147" s="165">
        <f t="shared" si="32"/>
        <v>785</v>
      </c>
      <c r="H147" s="165">
        <f>F147*0.67</f>
        <v>24.728025000000002</v>
      </c>
      <c r="I147" s="165">
        <f>H147*7/20</f>
        <v>8.6548087500000008</v>
      </c>
      <c r="J147" s="165">
        <f>H147*1.2</f>
        <v>29.673630000000003</v>
      </c>
      <c r="K147" s="166">
        <f t="shared" si="31"/>
        <v>4086.6268137710085</v>
      </c>
    </row>
    <row r="148" spans="3:15" hidden="1" x14ac:dyDescent="0.3">
      <c r="C148" s="172">
        <v>0</v>
      </c>
      <c r="D148" s="173">
        <v>0</v>
      </c>
      <c r="E148" s="165">
        <v>0</v>
      </c>
      <c r="F148" s="165">
        <f t="shared" si="30"/>
        <v>0</v>
      </c>
      <c r="G148" s="165">
        <f t="shared" si="32"/>
        <v>0</v>
      </c>
      <c r="H148" s="165">
        <f t="shared" ref="H148:H150" si="33">F148*0.67</f>
        <v>0</v>
      </c>
      <c r="I148" s="165">
        <f t="shared" ref="I148:I150" si="34">H148*7/20</f>
        <v>0</v>
      </c>
      <c r="J148" s="165">
        <f t="shared" ref="J148:J150" si="35">H148*1.2</f>
        <v>0</v>
      </c>
      <c r="K148" s="166">
        <f t="shared" si="31"/>
        <v>0</v>
      </c>
    </row>
    <row r="149" spans="3:15" hidden="1" x14ac:dyDescent="0.3">
      <c r="C149" s="172">
        <v>0</v>
      </c>
      <c r="D149" s="173">
        <v>0</v>
      </c>
      <c r="E149" s="165">
        <v>0</v>
      </c>
      <c r="F149" s="165">
        <f t="shared" si="30"/>
        <v>0</v>
      </c>
      <c r="G149" s="165">
        <f t="shared" si="32"/>
        <v>0</v>
      </c>
      <c r="H149" s="165">
        <f t="shared" si="33"/>
        <v>0</v>
      </c>
      <c r="I149" s="165">
        <f t="shared" si="34"/>
        <v>0</v>
      </c>
      <c r="J149" s="165">
        <f t="shared" si="35"/>
        <v>0</v>
      </c>
      <c r="K149" s="166">
        <f t="shared" si="31"/>
        <v>0</v>
      </c>
    </row>
    <row r="150" spans="3:15" hidden="1" x14ac:dyDescent="0.3">
      <c r="C150" s="174">
        <v>0</v>
      </c>
      <c r="D150" s="175">
        <v>0</v>
      </c>
      <c r="E150" s="169">
        <v>0</v>
      </c>
      <c r="F150" s="165">
        <f t="shared" si="30"/>
        <v>0</v>
      </c>
      <c r="G150" s="165">
        <f t="shared" si="32"/>
        <v>0</v>
      </c>
      <c r="H150" s="165">
        <f t="shared" si="33"/>
        <v>0</v>
      </c>
      <c r="I150" s="165">
        <f t="shared" si="34"/>
        <v>0</v>
      </c>
      <c r="J150" s="165">
        <f t="shared" si="35"/>
        <v>0</v>
      </c>
      <c r="K150" s="166">
        <f t="shared" si="31"/>
        <v>0</v>
      </c>
    </row>
    <row r="151" spans="3:15" ht="23.25" hidden="1" customHeight="1" thickBot="1" x14ac:dyDescent="0.35">
      <c r="C151" s="340" t="s">
        <v>14</v>
      </c>
      <c r="D151" s="341"/>
      <c r="E151" s="341"/>
      <c r="F151" s="342"/>
      <c r="G151" s="176">
        <f>SUM(G145:G150)</f>
        <v>2355</v>
      </c>
      <c r="H151" s="170">
        <f>SUM(H145:H150)</f>
        <v>74.184075000000007</v>
      </c>
      <c r="I151" s="170">
        <f>SUM(I145:I150)</f>
        <v>25.964426250000002</v>
      </c>
      <c r="J151" s="170">
        <f>SUM(J145:J150)</f>
        <v>89.020890000000009</v>
      </c>
      <c r="K151" s="171">
        <f>ROUNDUP(SUM(K145:K150),0)</f>
        <v>12260</v>
      </c>
    </row>
    <row r="152" spans="3:15" hidden="1" x14ac:dyDescent="0.3"/>
    <row r="153" spans="3:15" hidden="1" x14ac:dyDescent="0.3"/>
    <row r="154" spans="3:15" ht="18.600000000000001" hidden="1" thickBot="1" x14ac:dyDescent="0.35">
      <c r="C154" s="335" t="s">
        <v>44</v>
      </c>
      <c r="D154" s="336"/>
      <c r="E154" s="336"/>
      <c r="F154" s="336"/>
      <c r="G154" s="336"/>
      <c r="H154" s="336"/>
      <c r="I154" s="336"/>
      <c r="J154" s="336"/>
      <c r="K154" s="336"/>
      <c r="L154" s="336"/>
      <c r="M154" s="337"/>
    </row>
    <row r="155" spans="3:15" ht="36" hidden="1" x14ac:dyDescent="0.3">
      <c r="C155" s="338" t="s">
        <v>45</v>
      </c>
      <c r="D155" s="339"/>
      <c r="E155" s="339" t="s">
        <v>49</v>
      </c>
      <c r="F155" s="339"/>
      <c r="G155" s="339" t="s">
        <v>52</v>
      </c>
      <c r="H155" s="339"/>
      <c r="I155" s="177" t="s">
        <v>53</v>
      </c>
      <c r="J155" s="178" t="s">
        <v>80</v>
      </c>
      <c r="K155" s="177" t="s">
        <v>54</v>
      </c>
      <c r="L155" s="179" t="s">
        <v>58</v>
      </c>
      <c r="M155" s="180" t="s">
        <v>13</v>
      </c>
    </row>
    <row r="156" spans="3:15" hidden="1" x14ac:dyDescent="0.3">
      <c r="C156" s="181" t="s">
        <v>46</v>
      </c>
      <c r="D156" s="182">
        <v>2.8</v>
      </c>
      <c r="E156" s="182" t="s">
        <v>50</v>
      </c>
      <c r="F156" s="182">
        <v>15</v>
      </c>
      <c r="G156" s="182" t="s">
        <v>46</v>
      </c>
      <c r="H156" s="182">
        <v>6</v>
      </c>
      <c r="I156" s="333">
        <f>O166+O160+O158</f>
        <v>2.4821751550398785</v>
      </c>
      <c r="J156" s="333">
        <f>I156*7/20</f>
        <v>0.86876130426395748</v>
      </c>
      <c r="K156" s="333">
        <f>I156*1.2</f>
        <v>2.9786101860478542</v>
      </c>
      <c r="L156" s="333">
        <v>3</v>
      </c>
      <c r="M156" s="330">
        <f>(K156*E8+J156*E7+I156*0.13*E4+150+150)*L156</f>
        <v>1983.3536898630541</v>
      </c>
      <c r="O156" s="127">
        <f>H156*100/F157+1</f>
        <v>21</v>
      </c>
    </row>
    <row r="157" spans="3:15" hidden="1" x14ac:dyDescent="0.3">
      <c r="C157" s="181" t="s">
        <v>47</v>
      </c>
      <c r="D157" s="182">
        <v>1.4</v>
      </c>
      <c r="E157" s="182" t="s">
        <v>51</v>
      </c>
      <c r="F157" s="182">
        <v>30</v>
      </c>
      <c r="G157" s="182" t="s">
        <v>47</v>
      </c>
      <c r="H157" s="182">
        <v>1.2</v>
      </c>
      <c r="I157" s="334"/>
      <c r="J157" s="334"/>
      <c r="K157" s="334"/>
      <c r="L157" s="334"/>
      <c r="M157" s="331"/>
      <c r="O157" s="127">
        <f>F156*F157*H157/2/10000</f>
        <v>2.7E-2</v>
      </c>
    </row>
    <row r="158" spans="3:15" ht="18.600000000000001" hidden="1" thickBot="1" x14ac:dyDescent="0.35">
      <c r="C158" s="183" t="s">
        <v>48</v>
      </c>
      <c r="D158" s="184">
        <v>16</v>
      </c>
      <c r="E158" s="185" t="s">
        <v>55</v>
      </c>
      <c r="F158" s="185">
        <f>O156</f>
        <v>21</v>
      </c>
      <c r="G158" s="184" t="s">
        <v>48</v>
      </c>
      <c r="H158" s="184">
        <v>16</v>
      </c>
      <c r="I158" s="334"/>
      <c r="J158" s="334"/>
      <c r="K158" s="334"/>
      <c r="L158" s="334"/>
      <c r="M158" s="332"/>
      <c r="O158" s="127">
        <f>O156*O157</f>
        <v>0.56699999999999995</v>
      </c>
    </row>
    <row r="159" spans="3:15" ht="21.6" hidden="1" thickBot="1" x14ac:dyDescent="0.35">
      <c r="C159" s="328" t="s">
        <v>14</v>
      </c>
      <c r="D159" s="329"/>
      <c r="E159" s="329"/>
      <c r="F159" s="329"/>
      <c r="G159" s="329"/>
      <c r="H159" s="329"/>
      <c r="I159" s="329"/>
      <c r="J159" s="186">
        <f>J156*L156</f>
        <v>2.6062839127918727</v>
      </c>
      <c r="K159" s="186">
        <f>K156*L156</f>
        <v>8.9358305581435626</v>
      </c>
      <c r="L159" s="187"/>
      <c r="M159" s="171">
        <f>ROUNDUP(SUM(M156),0)</f>
        <v>1984</v>
      </c>
    </row>
    <row r="160" spans="3:15" hidden="1" x14ac:dyDescent="0.3">
      <c r="O160" s="127">
        <f>D156*D157*D158/100</f>
        <v>0.62719999999999987</v>
      </c>
    </row>
    <row r="161" spans="2:15" hidden="1" x14ac:dyDescent="0.3"/>
    <row r="162" spans="2:15" ht="18.600000000000001" hidden="1" thickBot="1" x14ac:dyDescent="0.35">
      <c r="B162" s="325" t="s">
        <v>22</v>
      </c>
      <c r="C162" s="326"/>
      <c r="D162" s="326"/>
      <c r="E162" s="326"/>
      <c r="F162" s="326"/>
      <c r="G162" s="326"/>
      <c r="H162" s="326"/>
      <c r="I162" s="326"/>
      <c r="J162" s="326"/>
      <c r="K162" s="326"/>
      <c r="L162" s="327"/>
      <c r="O162" s="127">
        <f>F156*F156+F157*F157</f>
        <v>1125</v>
      </c>
    </row>
    <row r="163" spans="2:15" ht="37.5" hidden="1" customHeight="1" x14ac:dyDescent="0.3">
      <c r="B163" s="323" t="s">
        <v>65</v>
      </c>
      <c r="C163" s="188" t="s">
        <v>23</v>
      </c>
      <c r="D163" s="178" t="s">
        <v>24</v>
      </c>
      <c r="E163" s="178" t="s">
        <v>25</v>
      </c>
      <c r="F163" s="178" t="s">
        <v>28</v>
      </c>
      <c r="G163" s="178" t="s">
        <v>29</v>
      </c>
      <c r="H163" s="178" t="s">
        <v>27</v>
      </c>
      <c r="I163" s="178" t="s">
        <v>26</v>
      </c>
      <c r="J163" s="178" t="s">
        <v>80</v>
      </c>
      <c r="K163" s="178" t="s">
        <v>30</v>
      </c>
      <c r="L163" s="189" t="s">
        <v>13</v>
      </c>
      <c r="O163" s="127">
        <f>SQRT(O162)</f>
        <v>33.541019662496844</v>
      </c>
    </row>
    <row r="164" spans="2:15" ht="18.600000000000001" hidden="1" thickBot="1" x14ac:dyDescent="0.35">
      <c r="B164" s="324"/>
      <c r="C164" s="190" t="s">
        <v>33</v>
      </c>
      <c r="D164" s="191" t="s">
        <v>33</v>
      </c>
      <c r="E164" s="191" t="s">
        <v>32</v>
      </c>
      <c r="F164" s="191" t="s">
        <v>35</v>
      </c>
      <c r="G164" s="191" t="s">
        <v>35</v>
      </c>
      <c r="H164" s="191" t="s">
        <v>32</v>
      </c>
      <c r="I164" s="191" t="s">
        <v>35</v>
      </c>
      <c r="J164" s="191" t="s">
        <v>36</v>
      </c>
      <c r="K164" s="191" t="s">
        <v>34</v>
      </c>
      <c r="L164" s="192" t="s">
        <v>37</v>
      </c>
      <c r="O164" s="127">
        <f>O163/F157</f>
        <v>1.1180339887498947</v>
      </c>
    </row>
    <row r="165" spans="2:15" hidden="1" x14ac:dyDescent="0.3">
      <c r="B165" s="193" t="s">
        <v>66</v>
      </c>
      <c r="C165" s="194">
        <v>55</v>
      </c>
      <c r="D165" s="129">
        <v>5</v>
      </c>
      <c r="E165" s="129">
        <v>30</v>
      </c>
      <c r="F165" s="129">
        <v>4</v>
      </c>
      <c r="G165" s="129">
        <v>3</v>
      </c>
      <c r="H165" s="129" t="s">
        <v>71</v>
      </c>
      <c r="I165" s="129">
        <f>ROUNDUP((C165*D165-(F165*2.35+G165*1.8))/0.08,0)*2</f>
        <v>6506</v>
      </c>
      <c r="J165" s="162">
        <f>(I165/100)/20</f>
        <v>3.2530000000000001</v>
      </c>
      <c r="K165" s="162">
        <f>J165*20/7</f>
        <v>9.2942857142857154</v>
      </c>
      <c r="L165" s="163">
        <f>J165*$E$7+K165*$E$8+G165*5+F165*5+(C165*D165*0.7)+I165*$E$10</f>
        <v>2688.8845978391355</v>
      </c>
      <c r="O165" s="127">
        <f>H156*O164</f>
        <v>6.7082039324993676</v>
      </c>
    </row>
    <row r="166" spans="2:15" hidden="1" x14ac:dyDescent="0.3">
      <c r="B166" s="195" t="s">
        <v>67</v>
      </c>
      <c r="C166" s="196">
        <v>80</v>
      </c>
      <c r="D166" s="134">
        <v>3.25</v>
      </c>
      <c r="E166" s="134">
        <v>15</v>
      </c>
      <c r="F166" s="134">
        <v>7</v>
      </c>
      <c r="G166" s="134">
        <v>12</v>
      </c>
      <c r="H166" s="134">
        <f>E166</f>
        <v>15</v>
      </c>
      <c r="I166" s="134">
        <f>ROUNDUP((C166*D166-(F166*2.35+G166*1.8))/0.08,0)</f>
        <v>2775</v>
      </c>
      <c r="J166" s="165">
        <f>(I166/100)/20</f>
        <v>1.3875</v>
      </c>
      <c r="K166" s="165">
        <f>J166*20/7</f>
        <v>3.9642857142857144</v>
      </c>
      <c r="L166" s="163">
        <f>J166*$E$7+K166*$E$8+G166*5+F166*5+(C166*D166*0.7)+I166*$E$10</f>
        <v>1326.8527911164465</v>
      </c>
      <c r="O166" s="127">
        <f>H157*O165*H158/100</f>
        <v>1.2879751550398786</v>
      </c>
    </row>
    <row r="167" spans="2:15" hidden="1" x14ac:dyDescent="0.3">
      <c r="B167" s="195" t="s">
        <v>68</v>
      </c>
      <c r="C167" s="196">
        <v>80</v>
      </c>
      <c r="D167" s="134">
        <v>3.25</v>
      </c>
      <c r="E167" s="134">
        <v>15</v>
      </c>
      <c r="F167" s="134">
        <v>7</v>
      </c>
      <c r="G167" s="134">
        <v>12</v>
      </c>
      <c r="H167" s="134">
        <f>E167</f>
        <v>15</v>
      </c>
      <c r="I167" s="134">
        <f>ROUNDUP((C167*D167-(F167*2.35+G167*1.8))/0.08,0)</f>
        <v>2775</v>
      </c>
      <c r="J167" s="165">
        <f>(I167/100)/20</f>
        <v>1.3875</v>
      </c>
      <c r="K167" s="165">
        <f>J167*20/7</f>
        <v>3.9642857142857144</v>
      </c>
      <c r="L167" s="163">
        <f>J167*$E$7+K167*$E$8+G167*5+F167*5+(C167*D167*0.7)+I167*$E$10</f>
        <v>1326.8527911164465</v>
      </c>
    </row>
    <row r="168" spans="2:15" hidden="1" x14ac:dyDescent="0.3">
      <c r="B168" s="195" t="s">
        <v>69</v>
      </c>
      <c r="C168" s="196">
        <v>38</v>
      </c>
      <c r="D168" s="134">
        <v>1</v>
      </c>
      <c r="E168" s="134">
        <v>15</v>
      </c>
      <c r="F168" s="134">
        <v>0</v>
      </c>
      <c r="G168" s="134">
        <v>0</v>
      </c>
      <c r="H168" s="134">
        <f>E168</f>
        <v>15</v>
      </c>
      <c r="I168" s="134">
        <f>ROUNDUP((C168*D168-(F168*2.35+G168*1.8))/0.08,0)</f>
        <v>475</v>
      </c>
      <c r="J168" s="165">
        <f>(I168/100)/20</f>
        <v>0.23749999999999999</v>
      </c>
      <c r="K168" s="165">
        <f>J168*20/7</f>
        <v>0.6785714285714286</v>
      </c>
      <c r="L168" s="163">
        <f>J168*$E$7+K168*$E$8+G168*5+F168*5+(C168*D168*0.7)+I168*$E$10</f>
        <v>206.30453181272509</v>
      </c>
    </row>
    <row r="169" spans="2:15" hidden="1" x14ac:dyDescent="0.3">
      <c r="B169" s="197" t="s">
        <v>70</v>
      </c>
      <c r="C169" s="198">
        <v>16</v>
      </c>
      <c r="D169" s="199">
        <v>2.5</v>
      </c>
      <c r="E169" s="199">
        <v>15</v>
      </c>
      <c r="F169" s="199">
        <v>1</v>
      </c>
      <c r="G169" s="199">
        <v>1</v>
      </c>
      <c r="H169" s="199">
        <f>E169</f>
        <v>15</v>
      </c>
      <c r="I169" s="199">
        <f>ROUNDUP((C169*D169-(F169*2.35+G169*1.8))/0.08,0)</f>
        <v>449</v>
      </c>
      <c r="J169" s="169">
        <f>(I169/100)/20</f>
        <v>0.22450000000000001</v>
      </c>
      <c r="K169" s="169">
        <f>J169*20/7</f>
        <v>0.64142857142857146</v>
      </c>
      <c r="L169" s="163">
        <f>J169*$E$7+K169*$E$8+G169*5+F169*5+(C169*D169*0.7)+I169*$E$10</f>
        <v>207.86807322929172</v>
      </c>
    </row>
    <row r="170" spans="2:15" ht="21.6" hidden="1" thickBot="1" x14ac:dyDescent="0.35">
      <c r="B170" s="325" t="s">
        <v>14</v>
      </c>
      <c r="C170" s="326"/>
      <c r="D170" s="326"/>
      <c r="E170" s="327"/>
      <c r="F170" s="200">
        <f>SUM(F165:F169)</f>
        <v>19</v>
      </c>
      <c r="G170" s="201">
        <f>SUM(G165:G169)</f>
        <v>28</v>
      </c>
      <c r="H170" s="201" t="s">
        <v>31</v>
      </c>
      <c r="I170" s="201">
        <f>SUM(I165:I169)</f>
        <v>12980</v>
      </c>
      <c r="J170" s="160">
        <f>SUM(J165:J169)</f>
        <v>6.49</v>
      </c>
      <c r="K170" s="160">
        <f>SUM(K165:K169)</f>
        <v>18.542857142857144</v>
      </c>
      <c r="L170" s="171">
        <f>ROUNDUP(SUM(L165:L169),0)</f>
        <v>5757</v>
      </c>
    </row>
    <row r="171" spans="2:15" hidden="1" x14ac:dyDescent="0.3"/>
    <row r="172" spans="2:15" hidden="1" x14ac:dyDescent="0.3"/>
    <row r="173" spans="2:15" ht="37.5" hidden="1" customHeight="1" x14ac:dyDescent="0.3">
      <c r="C173" s="343" t="s">
        <v>81</v>
      </c>
      <c r="D173" s="343" t="s">
        <v>75</v>
      </c>
      <c r="E173" s="348" t="s">
        <v>79</v>
      </c>
      <c r="F173" s="349"/>
      <c r="G173" s="349"/>
      <c r="H173" s="350"/>
      <c r="I173" s="343" t="s">
        <v>57</v>
      </c>
    </row>
    <row r="174" spans="2:15" ht="18.600000000000001" hidden="1" thickBot="1" x14ac:dyDescent="0.35">
      <c r="C174" s="344"/>
      <c r="D174" s="344"/>
      <c r="E174" s="139" t="s">
        <v>76</v>
      </c>
      <c r="F174" s="140" t="s">
        <v>77</v>
      </c>
      <c r="G174" s="140" t="s">
        <v>78</v>
      </c>
      <c r="H174" s="202" t="s">
        <v>14</v>
      </c>
      <c r="I174" s="344"/>
    </row>
    <row r="175" spans="2:15" hidden="1" x14ac:dyDescent="0.3">
      <c r="C175" s="203" t="s">
        <v>38</v>
      </c>
      <c r="D175" s="204">
        <f>F81</f>
        <v>590</v>
      </c>
      <c r="E175" s="161">
        <f>H81</f>
        <v>0</v>
      </c>
      <c r="F175" s="162">
        <v>0</v>
      </c>
      <c r="G175" s="162">
        <f>J81</f>
        <v>0</v>
      </c>
      <c r="H175" s="205">
        <f t="shared" ref="H175:H185" si="36">I175-D175</f>
        <v>0</v>
      </c>
      <c r="I175" s="206">
        <f>F81</f>
        <v>590</v>
      </c>
    </row>
    <row r="176" spans="2:15" hidden="1" x14ac:dyDescent="0.3">
      <c r="C176" s="207" t="s">
        <v>0</v>
      </c>
      <c r="D176" s="208">
        <f>H90*8+200</f>
        <v>296</v>
      </c>
      <c r="E176" s="164">
        <f>I90</f>
        <v>4.2</v>
      </c>
      <c r="F176" s="165">
        <f>H90*0.065</f>
        <v>0.78</v>
      </c>
      <c r="G176" s="165">
        <f>J90</f>
        <v>14.399999999999999</v>
      </c>
      <c r="H176" s="138">
        <f t="shared" si="36"/>
        <v>1282</v>
      </c>
      <c r="I176" s="209">
        <f>K90</f>
        <v>1578</v>
      </c>
    </row>
    <row r="177" spans="3:9" hidden="1" x14ac:dyDescent="0.3">
      <c r="C177" s="207" t="s">
        <v>12</v>
      </c>
      <c r="D177" s="208">
        <v>0</v>
      </c>
      <c r="E177" s="164">
        <f>M114</f>
        <v>0</v>
      </c>
      <c r="F177" s="165">
        <v>0</v>
      </c>
      <c r="G177" s="165" t="e">
        <f>#REF!</f>
        <v>#REF!</v>
      </c>
      <c r="H177" s="138">
        <f t="shared" si="36"/>
        <v>2134</v>
      </c>
      <c r="I177" s="209">
        <f>K114</f>
        <v>2134</v>
      </c>
    </row>
    <row r="178" spans="3:9" hidden="1" x14ac:dyDescent="0.3">
      <c r="C178" s="207" t="s">
        <v>59</v>
      </c>
      <c r="D178" s="208">
        <v>0</v>
      </c>
      <c r="E178" s="164">
        <f>M137</f>
        <v>0</v>
      </c>
      <c r="F178" s="165">
        <v>0</v>
      </c>
      <c r="G178" s="165" t="e">
        <f>#REF!</f>
        <v>#REF!</v>
      </c>
      <c r="H178" s="138">
        <f t="shared" si="36"/>
        <v>1344</v>
      </c>
      <c r="I178" s="209">
        <f>K137</f>
        <v>1344</v>
      </c>
    </row>
    <row r="179" spans="3:9" hidden="1" x14ac:dyDescent="0.3">
      <c r="C179" s="207" t="s">
        <v>9</v>
      </c>
      <c r="D179" s="208">
        <v>0</v>
      </c>
      <c r="E179" s="164">
        <f>M101</f>
        <v>0</v>
      </c>
      <c r="F179" s="165">
        <v>0</v>
      </c>
      <c r="G179" s="165" t="e">
        <f>#REF!</f>
        <v>#REF!</v>
      </c>
      <c r="H179" s="138">
        <f t="shared" si="36"/>
        <v>3987</v>
      </c>
      <c r="I179" s="209">
        <f>K101</f>
        <v>3987</v>
      </c>
    </row>
    <row r="180" spans="3:9" hidden="1" x14ac:dyDescent="0.3">
      <c r="C180" s="207" t="s">
        <v>18</v>
      </c>
      <c r="D180" s="208">
        <v>0</v>
      </c>
      <c r="E180" s="164">
        <f>M151</f>
        <v>0</v>
      </c>
      <c r="F180" s="165">
        <v>0</v>
      </c>
      <c r="G180" s="165" t="e">
        <f>#REF!</f>
        <v>#REF!</v>
      </c>
      <c r="H180" s="138">
        <f t="shared" si="36"/>
        <v>12260</v>
      </c>
      <c r="I180" s="209">
        <f>K151</f>
        <v>12260</v>
      </c>
    </row>
    <row r="181" spans="3:9" hidden="1" x14ac:dyDescent="0.3">
      <c r="C181" s="207" t="s">
        <v>44</v>
      </c>
      <c r="D181" s="208">
        <v>0</v>
      </c>
      <c r="E181" s="164">
        <f>O162</f>
        <v>1125</v>
      </c>
      <c r="F181" s="165">
        <v>0</v>
      </c>
      <c r="G181" s="165">
        <f>P156</f>
        <v>0</v>
      </c>
      <c r="H181" s="138">
        <f t="shared" si="36"/>
        <v>1983.3536898630541</v>
      </c>
      <c r="I181" s="209">
        <f>M156</f>
        <v>1983.3536898630541</v>
      </c>
    </row>
    <row r="182" spans="3:9" hidden="1" x14ac:dyDescent="0.3">
      <c r="C182" s="207" t="s">
        <v>22</v>
      </c>
      <c r="D182" s="208">
        <v>0</v>
      </c>
      <c r="E182" s="164">
        <f>N170</f>
        <v>0</v>
      </c>
      <c r="F182" s="165">
        <v>0</v>
      </c>
      <c r="G182" s="165">
        <f>O170</f>
        <v>0</v>
      </c>
      <c r="H182" s="138">
        <f t="shared" si="36"/>
        <v>5757</v>
      </c>
      <c r="I182" s="209">
        <f>L170</f>
        <v>5757</v>
      </c>
    </row>
    <row r="183" spans="3:9" hidden="1" x14ac:dyDescent="0.3">
      <c r="C183" s="210" t="s">
        <v>64</v>
      </c>
      <c r="D183" s="211">
        <v>0</v>
      </c>
      <c r="E183" s="212">
        <f>ROUNDUP(SUM(E175:E182),-1)</f>
        <v>1130</v>
      </c>
      <c r="F183" s="213">
        <v>0</v>
      </c>
      <c r="G183" s="213" t="e">
        <f>ROUNDUP(SUM(G175:G182),-1)</f>
        <v>#REF!</v>
      </c>
      <c r="H183" s="138">
        <f t="shared" si="36"/>
        <v>29640</v>
      </c>
      <c r="I183" s="214">
        <f>ROUNDUP(SUM(I175:I182),-1)</f>
        <v>29640</v>
      </c>
    </row>
    <row r="184" spans="3:9" ht="36" hidden="1" x14ac:dyDescent="0.3">
      <c r="C184" s="207" t="s">
        <v>63</v>
      </c>
      <c r="D184" s="208">
        <v>0</v>
      </c>
      <c r="E184" s="164">
        <f>E183*0.1</f>
        <v>113</v>
      </c>
      <c r="F184" s="165">
        <v>0</v>
      </c>
      <c r="G184" s="165" t="e">
        <f>G183*0.1</f>
        <v>#REF!</v>
      </c>
      <c r="H184" s="138">
        <f t="shared" si="36"/>
        <v>2964</v>
      </c>
      <c r="I184" s="209">
        <f>I183*0.1</f>
        <v>2964</v>
      </c>
    </row>
    <row r="185" spans="3:9" hidden="1" x14ac:dyDescent="0.3">
      <c r="C185" s="207" t="s">
        <v>62</v>
      </c>
      <c r="D185" s="208">
        <v>0</v>
      </c>
      <c r="E185" s="164">
        <f>(E184+E183)*0.05</f>
        <v>62.150000000000006</v>
      </c>
      <c r="F185" s="165">
        <v>0</v>
      </c>
      <c r="G185" s="165" t="e">
        <f>(G184+G183)*0.05</f>
        <v>#REF!</v>
      </c>
      <c r="H185" s="138">
        <f t="shared" si="36"/>
        <v>1630.2</v>
      </c>
      <c r="I185" s="209">
        <f>(I184+I183)*0.05</f>
        <v>1630.2</v>
      </c>
    </row>
    <row r="186" spans="3:9" ht="29.25" hidden="1" customHeight="1" thickBot="1" x14ac:dyDescent="0.35">
      <c r="C186" s="215" t="s">
        <v>14</v>
      </c>
      <c r="D186" s="216" t="s">
        <v>14</v>
      </c>
      <c r="E186" s="217">
        <f>ROUNDUP(E185+E184+E183,-2)</f>
        <v>1400</v>
      </c>
      <c r="F186" s="218" t="s">
        <v>14</v>
      </c>
      <c r="G186" s="219" t="e">
        <f>ROUNDUP(G185+G184+G183,-2)</f>
        <v>#REF!</v>
      </c>
      <c r="H186" s="220">
        <f>ROUNDUP(H185+H184+H183,-2)</f>
        <v>34300</v>
      </c>
      <c r="I186" s="221">
        <f>ROUNDUP(I185+I184+I183,-2)</f>
        <v>34300</v>
      </c>
    </row>
    <row r="187" spans="3:9" hidden="1" x14ac:dyDescent="0.3"/>
    <row r="188" spans="3:9" hidden="1" x14ac:dyDescent="0.3"/>
    <row r="189" spans="3:9" hidden="1" x14ac:dyDescent="0.3"/>
  </sheetData>
  <sheetProtection formatCells="0"/>
  <mergeCells count="90">
    <mergeCell ref="F3:H3"/>
    <mergeCell ref="F8:F11"/>
    <mergeCell ref="C3:E3"/>
    <mergeCell ref="C4:C6"/>
    <mergeCell ref="C7:D7"/>
    <mergeCell ref="C8:D8"/>
    <mergeCell ref="C9:D9"/>
    <mergeCell ref="C10:D10"/>
    <mergeCell ref="C11:D11"/>
    <mergeCell ref="C173:C174"/>
    <mergeCell ref="C141:K141"/>
    <mergeCell ref="G142:G143"/>
    <mergeCell ref="I133:I134"/>
    <mergeCell ref="F4:F7"/>
    <mergeCell ref="C13:F13"/>
    <mergeCell ref="H13:N13"/>
    <mergeCell ref="C79:F79"/>
    <mergeCell ref="C114:G114"/>
    <mergeCell ref="C105:E105"/>
    <mergeCell ref="K133:K134"/>
    <mergeCell ref="F105:F106"/>
    <mergeCell ref="E173:H173"/>
    <mergeCell ref="I173:I174"/>
    <mergeCell ref="D173:D174"/>
    <mergeCell ref="C104:K104"/>
    <mergeCell ref="J105:J106"/>
    <mergeCell ref="K105:K106"/>
    <mergeCell ref="C137:G137"/>
    <mergeCell ref="I156:I158"/>
    <mergeCell ref="J156:J158"/>
    <mergeCell ref="C151:F151"/>
    <mergeCell ref="G105:G106"/>
    <mergeCell ref="H105:H106"/>
    <mergeCell ref="I105:I106"/>
    <mergeCell ref="C132:K132"/>
    <mergeCell ref="C133:E133"/>
    <mergeCell ref="F133:F134"/>
    <mergeCell ref="G133:G134"/>
    <mergeCell ref="H133:H134"/>
    <mergeCell ref="J133:J134"/>
    <mergeCell ref="M156:M158"/>
    <mergeCell ref="L156:L158"/>
    <mergeCell ref="K142:K143"/>
    <mergeCell ref="H142:H143"/>
    <mergeCell ref="I142:I143"/>
    <mergeCell ref="K156:K158"/>
    <mergeCell ref="C154:M154"/>
    <mergeCell ref="C155:D155"/>
    <mergeCell ref="E155:F155"/>
    <mergeCell ref="G155:H155"/>
    <mergeCell ref="C142:E142"/>
    <mergeCell ref="F142:F143"/>
    <mergeCell ref="B163:B164"/>
    <mergeCell ref="B170:E170"/>
    <mergeCell ref="B162:L162"/>
    <mergeCell ref="C159:I159"/>
    <mergeCell ref="J142:J143"/>
    <mergeCell ref="C101:G101"/>
    <mergeCell ref="C85:E85"/>
    <mergeCell ref="F85:F86"/>
    <mergeCell ref="G85:G86"/>
    <mergeCell ref="H85:H86"/>
    <mergeCell ref="C90:G90"/>
    <mergeCell ref="C93:K93"/>
    <mergeCell ref="C94:E94"/>
    <mergeCell ref="F94:F95"/>
    <mergeCell ref="G94:G95"/>
    <mergeCell ref="I94:I95"/>
    <mergeCell ref="J94:J95"/>
    <mergeCell ref="K94:K95"/>
    <mergeCell ref="H94:H95"/>
    <mergeCell ref="I85:I86"/>
    <mergeCell ref="J85:J86"/>
    <mergeCell ref="C84:K84"/>
    <mergeCell ref="K85:K86"/>
    <mergeCell ref="C29:F29"/>
    <mergeCell ref="J3:L3"/>
    <mergeCell ref="M3:O3"/>
    <mergeCell ref="J4:J6"/>
    <mergeCell ref="M4:M7"/>
    <mergeCell ref="J7:K7"/>
    <mergeCell ref="S15:S18"/>
    <mergeCell ref="S13:AB13"/>
    <mergeCell ref="T18:AA18"/>
    <mergeCell ref="J8:K8"/>
    <mergeCell ref="M8:M11"/>
    <mergeCell ref="J9:K9"/>
    <mergeCell ref="J10:K10"/>
    <mergeCell ref="J11:K11"/>
    <mergeCell ref="P13:Q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8988-8133-4F9A-9AF1-E059B6BC1FAD}">
  <dimension ref="C2:J14"/>
  <sheetViews>
    <sheetView rightToLeft="1" zoomScale="85" zoomScaleNormal="85" workbookViewId="0">
      <selection activeCell="I5" sqref="I5"/>
    </sheetView>
  </sheetViews>
  <sheetFormatPr defaultRowHeight="14.4" x14ac:dyDescent="0.3"/>
  <cols>
    <col min="3" max="5" width="18.6640625" customWidth="1"/>
    <col min="6" max="8" width="18.6640625" style="25" customWidth="1"/>
    <col min="10" max="10" width="22.109375" style="258" customWidth="1"/>
  </cols>
  <sheetData>
    <row r="2" spans="3:10" ht="15" thickBot="1" x14ac:dyDescent="0.35"/>
    <row r="3" spans="3:10" ht="31.5" customHeight="1" x14ac:dyDescent="0.3">
      <c r="C3" s="353" t="s">
        <v>72</v>
      </c>
      <c r="D3" s="354"/>
      <c r="E3" s="354"/>
      <c r="F3" s="354"/>
      <c r="G3" s="354"/>
      <c r="H3" s="355"/>
      <c r="J3" s="259" t="s">
        <v>107</v>
      </c>
    </row>
    <row r="4" spans="3:10" ht="39.75" customHeight="1" x14ac:dyDescent="0.3">
      <c r="C4" s="31" t="s">
        <v>84</v>
      </c>
      <c r="D4" s="29" t="s">
        <v>5</v>
      </c>
      <c r="E4" s="29" t="s">
        <v>103</v>
      </c>
      <c r="F4" s="26" t="s">
        <v>104</v>
      </c>
      <c r="G4" s="26" t="s">
        <v>105</v>
      </c>
      <c r="H4" s="32" t="s">
        <v>106</v>
      </c>
      <c r="J4" s="259" t="s">
        <v>108</v>
      </c>
    </row>
    <row r="5" spans="3:10" ht="28.5" customHeight="1" thickBot="1" x14ac:dyDescent="0.35">
      <c r="C5" s="33">
        <v>0</v>
      </c>
      <c r="D5" s="34">
        <v>0</v>
      </c>
      <c r="E5" s="35">
        <v>0</v>
      </c>
      <c r="F5" s="36">
        <v>0</v>
      </c>
      <c r="G5" s="36">
        <v>0</v>
      </c>
      <c r="H5" s="37">
        <v>0</v>
      </c>
      <c r="J5" s="259">
        <v>60000</v>
      </c>
    </row>
    <row r="6" spans="3:10" ht="24" customHeight="1" thickBot="1" x14ac:dyDescent="0.35">
      <c r="J6" s="259" t="s">
        <v>109</v>
      </c>
    </row>
    <row r="7" spans="3:10" ht="24" customHeight="1" x14ac:dyDescent="0.3">
      <c r="E7" s="351" t="s">
        <v>100</v>
      </c>
      <c r="F7" s="352"/>
      <c r="J7" s="259">
        <v>50000</v>
      </c>
    </row>
    <row r="8" spans="3:10" ht="24" customHeight="1" x14ac:dyDescent="0.3">
      <c r="E8" s="18" t="s">
        <v>38</v>
      </c>
      <c r="F8" s="38">
        <f>E5*J5/sumry!Q4</f>
        <v>0</v>
      </c>
      <c r="J8" s="259" t="s">
        <v>110</v>
      </c>
    </row>
    <row r="9" spans="3:10" ht="24" customHeight="1" x14ac:dyDescent="0.3">
      <c r="E9" s="18" t="s">
        <v>82</v>
      </c>
      <c r="F9" s="38">
        <f>D5*0.5*C5*J9/sumry!Q4</f>
        <v>0</v>
      </c>
      <c r="J9" s="259">
        <v>50000</v>
      </c>
    </row>
    <row r="10" spans="3:10" ht="24" customHeight="1" x14ac:dyDescent="0.3">
      <c r="E10" s="18" t="s">
        <v>83</v>
      </c>
      <c r="F10" s="38">
        <f>D5*J7/sumry!Q4</f>
        <v>0</v>
      </c>
      <c r="J10" s="259" t="s">
        <v>111</v>
      </c>
    </row>
    <row r="11" spans="3:10" ht="24" customHeight="1" x14ac:dyDescent="0.3">
      <c r="E11" s="18" t="s">
        <v>101</v>
      </c>
      <c r="F11" s="38">
        <f>F5*J11/sumry!Q4</f>
        <v>0</v>
      </c>
      <c r="J11" s="259">
        <v>250000</v>
      </c>
    </row>
    <row r="12" spans="3:10" ht="23.25" customHeight="1" x14ac:dyDescent="0.3">
      <c r="E12" s="18" t="s">
        <v>102</v>
      </c>
      <c r="F12" s="38">
        <f>(G5*J13+H5*J11)/sumry!Q4</f>
        <v>0</v>
      </c>
      <c r="J12" s="259" t="s">
        <v>112</v>
      </c>
    </row>
    <row r="13" spans="3:10" ht="23.25" customHeight="1" thickBot="1" x14ac:dyDescent="0.35">
      <c r="E13" s="22" t="s">
        <v>56</v>
      </c>
      <c r="F13" s="39">
        <f>F12+F8+F9+F10+F11</f>
        <v>0</v>
      </c>
      <c r="J13" s="259">
        <v>30000</v>
      </c>
    </row>
    <row r="14" spans="3:10" ht="23.25" customHeight="1" x14ac:dyDescent="0.3"/>
  </sheetData>
  <mergeCells count="2">
    <mergeCell ref="E7:F7"/>
    <mergeCell ref="C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0DEC-CEC8-49AF-AC3D-A06438863D57}">
  <dimension ref="B3:S22"/>
  <sheetViews>
    <sheetView rightToLeft="1" zoomScale="80" zoomScaleNormal="80" workbookViewId="0">
      <selection activeCell="H8" sqref="H8:H9"/>
    </sheetView>
  </sheetViews>
  <sheetFormatPr defaultRowHeight="15" customHeight="1" x14ac:dyDescent="0.3"/>
  <cols>
    <col min="2" max="2" width="15" customWidth="1"/>
    <col min="3" max="19" width="12.109375" customWidth="1"/>
  </cols>
  <sheetData>
    <row r="3" spans="2:19" ht="30.75" customHeight="1" x14ac:dyDescent="0.3">
      <c r="B3" s="360" t="s">
        <v>0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</row>
    <row r="4" spans="2:19" ht="24" customHeight="1" x14ac:dyDescent="0.3">
      <c r="B4" s="356" t="s">
        <v>85</v>
      </c>
      <c r="C4" s="356"/>
      <c r="D4" s="356"/>
      <c r="E4" s="356"/>
      <c r="F4" s="356"/>
      <c r="G4" s="356"/>
      <c r="H4" s="356"/>
      <c r="I4" s="356"/>
      <c r="J4" s="356"/>
      <c r="K4" s="361" t="s">
        <v>86</v>
      </c>
      <c r="L4" s="361"/>
      <c r="M4" s="361"/>
      <c r="N4" s="361"/>
      <c r="O4" s="361"/>
      <c r="P4" s="361"/>
      <c r="Q4" s="361"/>
      <c r="R4" s="361"/>
      <c r="S4" s="361"/>
    </row>
    <row r="5" spans="2:19" ht="24" customHeight="1" x14ac:dyDescent="0.3">
      <c r="B5" s="358" t="s">
        <v>87</v>
      </c>
      <c r="C5" s="359" t="s">
        <v>1</v>
      </c>
      <c r="D5" s="359"/>
      <c r="E5" s="359"/>
      <c r="F5" s="359" t="s">
        <v>6</v>
      </c>
      <c r="G5" s="359" t="s">
        <v>5</v>
      </c>
      <c r="H5" s="359" t="s">
        <v>7</v>
      </c>
      <c r="I5" s="359" t="s">
        <v>80</v>
      </c>
      <c r="J5" s="359" t="s">
        <v>8</v>
      </c>
      <c r="K5" s="358" t="s">
        <v>91</v>
      </c>
      <c r="L5" s="358"/>
      <c r="M5" s="358"/>
      <c r="N5" s="358"/>
      <c r="O5" s="358" t="s">
        <v>99</v>
      </c>
      <c r="P5" s="358"/>
      <c r="Q5" s="358"/>
      <c r="R5" s="358"/>
      <c r="S5" s="358" t="s">
        <v>98</v>
      </c>
    </row>
    <row r="6" spans="2:19" ht="47.25" customHeight="1" x14ac:dyDescent="0.3">
      <c r="B6" s="358"/>
      <c r="C6" s="17" t="s">
        <v>2</v>
      </c>
      <c r="D6" s="17" t="s">
        <v>3</v>
      </c>
      <c r="E6" s="17" t="s">
        <v>4</v>
      </c>
      <c r="F6" s="359"/>
      <c r="G6" s="359"/>
      <c r="H6" s="359"/>
      <c r="I6" s="359"/>
      <c r="J6" s="359"/>
      <c r="K6" s="6" t="s">
        <v>92</v>
      </c>
      <c r="L6" s="6" t="s">
        <v>93</v>
      </c>
      <c r="M6" s="6" t="s">
        <v>94</v>
      </c>
      <c r="N6" s="6" t="s">
        <v>95</v>
      </c>
      <c r="O6" s="6" t="s">
        <v>92</v>
      </c>
      <c r="P6" s="6" t="s">
        <v>93</v>
      </c>
      <c r="Q6" s="6" t="s">
        <v>94</v>
      </c>
      <c r="R6" s="6" t="s">
        <v>95</v>
      </c>
      <c r="S6" s="358"/>
    </row>
    <row r="7" spans="2:19" ht="18.75" customHeight="1" x14ac:dyDescent="0.3">
      <c r="B7" s="358"/>
      <c r="C7" s="17" t="s">
        <v>32</v>
      </c>
      <c r="D7" s="17" t="s">
        <v>32</v>
      </c>
      <c r="E7" s="17" t="s">
        <v>32</v>
      </c>
      <c r="F7" s="17" t="s">
        <v>34</v>
      </c>
      <c r="G7" s="17" t="s">
        <v>35</v>
      </c>
      <c r="H7" s="17" t="s">
        <v>34</v>
      </c>
      <c r="I7" s="17" t="s">
        <v>36</v>
      </c>
      <c r="J7" s="17" t="s">
        <v>34</v>
      </c>
      <c r="K7" s="17" t="s">
        <v>35</v>
      </c>
      <c r="L7" s="17" t="s">
        <v>33</v>
      </c>
      <c r="M7" s="17" t="s">
        <v>96</v>
      </c>
      <c r="N7" s="17" t="s">
        <v>97</v>
      </c>
      <c r="O7" s="17" t="s">
        <v>35</v>
      </c>
      <c r="P7" s="17" t="s">
        <v>33</v>
      </c>
      <c r="Q7" s="17" t="s">
        <v>96</v>
      </c>
      <c r="R7" s="17" t="s">
        <v>97</v>
      </c>
      <c r="S7" s="17" t="s">
        <v>36</v>
      </c>
    </row>
    <row r="8" spans="2:19" ht="15" customHeight="1" x14ac:dyDescent="0.3">
      <c r="B8" s="364" t="s">
        <v>88</v>
      </c>
      <c r="C8" s="357">
        <v>0</v>
      </c>
      <c r="D8" s="357">
        <v>0</v>
      </c>
      <c r="E8" s="357">
        <v>0</v>
      </c>
      <c r="F8" s="357">
        <f>E8*D8*C8/1000000</f>
        <v>0</v>
      </c>
      <c r="G8" s="357">
        <v>0</v>
      </c>
      <c r="H8" s="357">
        <f>F8*G8</f>
        <v>0</v>
      </c>
      <c r="I8" s="357">
        <f>H8*7/20</f>
        <v>0</v>
      </c>
      <c r="J8" s="357">
        <f>H8*1.2</f>
        <v>0</v>
      </c>
      <c r="K8" s="4">
        <v>3</v>
      </c>
      <c r="L8" s="236">
        <f>IF(E8=0,0,(D8+D8+E8+E8-30)/100)</f>
        <v>0</v>
      </c>
      <c r="M8" s="4">
        <v>14</v>
      </c>
      <c r="N8" s="4">
        <f>ROUNDUP(IF(M8=14,K8*G8*L8*1.2,IF(M8=16,K8*G8*L8*1.59,K8*G8*L8*0.89)),0)</f>
        <v>0</v>
      </c>
      <c r="O8" s="4">
        <v>2</v>
      </c>
      <c r="P8" s="236">
        <f>IF(E8=0,0,(C8+C8-30+E8+E8)/100)</f>
        <v>0</v>
      </c>
      <c r="Q8" s="4">
        <v>14</v>
      </c>
      <c r="R8" s="4">
        <f>ROUNDUP(IF(Q8=14,O8*G8*P8*1.2,IF(Q8=16,O8*G8*P8*1.59,O8*P8*G8*0.89)),0)</f>
        <v>0</v>
      </c>
      <c r="S8" s="362">
        <f>(R8+R9+N8+N9)/1000</f>
        <v>0</v>
      </c>
    </row>
    <row r="9" spans="2:19" ht="15" customHeight="1" x14ac:dyDescent="0.3">
      <c r="B9" s="364"/>
      <c r="C9" s="357"/>
      <c r="D9" s="357"/>
      <c r="E9" s="357"/>
      <c r="F9" s="357"/>
      <c r="G9" s="357"/>
      <c r="H9" s="357"/>
      <c r="I9" s="357"/>
      <c r="J9" s="357"/>
      <c r="K9" s="4">
        <v>6</v>
      </c>
      <c r="L9" s="236">
        <f>IF(D8=0,0,(D8-15+50)/100)</f>
        <v>0</v>
      </c>
      <c r="M9" s="4">
        <v>14</v>
      </c>
      <c r="N9" s="4">
        <f>ROUNDUP(IF(M9=14,K9*G8*L9*1.2,IF(M9=16,K9*G8*L9*1.59,K9*G8*L9*0.89)),0)</f>
        <v>0</v>
      </c>
      <c r="O9" s="4">
        <v>5</v>
      </c>
      <c r="P9" s="236">
        <f>IF(E8=0,0,(C8-15+50)/100)</f>
        <v>0</v>
      </c>
      <c r="Q9" s="4">
        <v>14</v>
      </c>
      <c r="R9" s="4">
        <f>ROUNDUP(IF(Q9=14,O9*G8*P9*1.2,IF(Q9=16,O9*G8*P9*1.59,O9*P9*G8*0.89)),0)</f>
        <v>0</v>
      </c>
      <c r="S9" s="363"/>
    </row>
    <row r="10" spans="2:19" ht="15" customHeight="1" x14ac:dyDescent="0.3">
      <c r="B10" s="364" t="s">
        <v>89</v>
      </c>
      <c r="C10" s="357">
        <v>0</v>
      </c>
      <c r="D10" s="357">
        <v>0</v>
      </c>
      <c r="E10" s="357">
        <v>0</v>
      </c>
      <c r="F10" s="357">
        <f>E10*D10*C10/1000000</f>
        <v>0</v>
      </c>
      <c r="G10" s="357">
        <v>0</v>
      </c>
      <c r="H10" s="357">
        <f>F10*G10</f>
        <v>0</v>
      </c>
      <c r="I10" s="357">
        <f>H10*7/20</f>
        <v>0</v>
      </c>
      <c r="J10" s="357">
        <f>H10*1.2</f>
        <v>0</v>
      </c>
      <c r="K10" s="4">
        <v>0</v>
      </c>
      <c r="L10" s="236">
        <f>IF(E10=0,0,(D10+D10+E10+E10-30)/100)</f>
        <v>0</v>
      </c>
      <c r="M10" s="4">
        <v>12</v>
      </c>
      <c r="N10" s="4">
        <f t="shared" ref="N10:N12" si="0">ROUNDUP(IF(M10=14,K10*G10*L10*1.2,IF(M10=16,K10*G10*L10*1.59,K10*G10*L10*0.89)),0)</f>
        <v>0</v>
      </c>
      <c r="O10" s="4">
        <v>0</v>
      </c>
      <c r="P10" s="236">
        <f>IF(E10=0,0,(C10+C10-30+E10+E10)/100)</f>
        <v>0</v>
      </c>
      <c r="Q10" s="4">
        <v>12</v>
      </c>
      <c r="R10" s="4">
        <f>ROUNDUP(IF(Q10=14,O10*G10*P10*1.2,IF(Q10=16,O10*G10*P10*1.59,O10*P10*G10*0.89)),0)</f>
        <v>0</v>
      </c>
      <c r="S10" s="362">
        <f t="shared" ref="S10" si="1">(R10+R11+N10+N11)/1000</f>
        <v>0</v>
      </c>
    </row>
    <row r="11" spans="2:19" ht="15" customHeight="1" x14ac:dyDescent="0.3">
      <c r="B11" s="364"/>
      <c r="C11" s="357"/>
      <c r="D11" s="357"/>
      <c r="E11" s="357"/>
      <c r="F11" s="357"/>
      <c r="G11" s="357"/>
      <c r="H11" s="357"/>
      <c r="I11" s="357"/>
      <c r="J11" s="357"/>
      <c r="K11" s="4">
        <v>0</v>
      </c>
      <c r="L11" s="236">
        <f>IF(D10=0,0,(D10-15+50)/100)</f>
        <v>0</v>
      </c>
      <c r="M11" s="4">
        <v>12</v>
      </c>
      <c r="N11" s="4">
        <f>ROUNDUP(IF(M11=14,K11*G10*L11*1.2,IF(M11=16,K11*G10*L11*1.59,K11*G10*L11*0.89)),0)</f>
        <v>0</v>
      </c>
      <c r="O11" s="4">
        <v>0</v>
      </c>
      <c r="P11" s="236">
        <f>IF(E10=0,0,(C10-15+50)/100)</f>
        <v>0</v>
      </c>
      <c r="Q11" s="4">
        <v>12</v>
      </c>
      <c r="R11" s="4">
        <f>ROUNDUP(IF(Q11=14,O11*G10*P11*1.2,IF(Q11=16,O11*G10*P11*1.59,O11*P11*G10*0.89)),0)</f>
        <v>0</v>
      </c>
      <c r="S11" s="363"/>
    </row>
    <row r="12" spans="2:19" ht="15" customHeight="1" x14ac:dyDescent="0.3">
      <c r="B12" s="364" t="s">
        <v>90</v>
      </c>
      <c r="C12" s="357">
        <v>0</v>
      </c>
      <c r="D12" s="357">
        <v>0</v>
      </c>
      <c r="E12" s="357">
        <v>0</v>
      </c>
      <c r="F12" s="357">
        <f>E12*D12*C12/1000000</f>
        <v>0</v>
      </c>
      <c r="G12" s="357">
        <v>0</v>
      </c>
      <c r="H12" s="357">
        <f>F12*G12</f>
        <v>0</v>
      </c>
      <c r="I12" s="357">
        <f>H12*7/20</f>
        <v>0</v>
      </c>
      <c r="J12" s="357">
        <f>H12*1.2</f>
        <v>0</v>
      </c>
      <c r="K12" s="4">
        <v>0</v>
      </c>
      <c r="L12" s="236">
        <f>IF(E12=0,0,(D12+D12+E12+E12-30)/100)</f>
        <v>0</v>
      </c>
      <c r="M12" s="4">
        <v>12</v>
      </c>
      <c r="N12" s="4">
        <f t="shared" si="0"/>
        <v>0</v>
      </c>
      <c r="O12" s="4">
        <v>0</v>
      </c>
      <c r="P12" s="236">
        <f>IF(E12=0,0,(C12+C12-30+E12+E12)/100)</f>
        <v>0</v>
      </c>
      <c r="Q12" s="4">
        <v>12</v>
      </c>
      <c r="R12" s="4">
        <f>ROUNDUP(IF(Q12=14,O12*G12*P12*1.2,IF(Q12=16,O12*G12*P12*1.59,O12*P12*G12*0.89)),0)</f>
        <v>0</v>
      </c>
      <c r="S12" s="362">
        <f t="shared" ref="S12" si="2">(R12+R13+N12+N13)/1000</f>
        <v>0</v>
      </c>
    </row>
    <row r="13" spans="2:19" ht="15" customHeight="1" x14ac:dyDescent="0.3">
      <c r="B13" s="364"/>
      <c r="C13" s="357"/>
      <c r="D13" s="357"/>
      <c r="E13" s="357"/>
      <c r="F13" s="357"/>
      <c r="G13" s="357"/>
      <c r="H13" s="357"/>
      <c r="I13" s="357"/>
      <c r="J13" s="357"/>
      <c r="K13" s="4">
        <v>0</v>
      </c>
      <c r="L13" s="236">
        <f>IF(D12=0,0,(D12-15+50)/100)</f>
        <v>0</v>
      </c>
      <c r="M13" s="4">
        <v>12</v>
      </c>
      <c r="N13" s="4">
        <f>ROUNDUP(IF(M13=14,K13*G12*L13*1.2,IF(M13=16,K13*G12*L13*1.59,K13*G12*L13*0.89)),0)</f>
        <v>0</v>
      </c>
      <c r="O13" s="4">
        <v>0</v>
      </c>
      <c r="P13" s="236">
        <f>IF(E12=0,0,(C12-15+50)/100)</f>
        <v>0</v>
      </c>
      <c r="Q13" s="4">
        <v>12</v>
      </c>
      <c r="R13" s="4">
        <f>ROUNDUP(IF(Q13=14,O13*G12*P13*1.2,IF(Q13=16,O13*G12*P13*1.59,O13*P13*G12*0.89)),0)</f>
        <v>0</v>
      </c>
      <c r="S13" s="363"/>
    </row>
    <row r="14" spans="2:19" ht="23.25" customHeight="1" x14ac:dyDescent="0.3">
      <c r="B14" s="4"/>
      <c r="C14" s="361" t="s">
        <v>14</v>
      </c>
      <c r="D14" s="361"/>
      <c r="E14" s="361"/>
      <c r="F14" s="361"/>
      <c r="G14" s="361"/>
      <c r="H14" s="43">
        <f>SUM(H8:H12)</f>
        <v>0</v>
      </c>
      <c r="I14" s="43">
        <f>SUM(I8:I12)</f>
        <v>0</v>
      </c>
      <c r="J14" s="43">
        <f>ROUNDUP(SUM(J8:J12),0)</f>
        <v>0</v>
      </c>
      <c r="K14" s="365" t="s">
        <v>14</v>
      </c>
      <c r="L14" s="366"/>
      <c r="M14" s="367"/>
      <c r="N14" s="41" t="s">
        <v>138</v>
      </c>
      <c r="O14" s="109">
        <f>SUMIF(M8:M13,"12",N8:N13)/1000 + SUMIF(Q8:Q13,"12",R8:R13)/1000</f>
        <v>0</v>
      </c>
      <c r="P14" s="110"/>
      <c r="Q14" s="109" t="s">
        <v>140</v>
      </c>
      <c r="R14" s="109">
        <f>SUMIF(M8:M13,"14",N8:N13)/1000 + SUMIF(Q8:Q13,"14",R8:R13)/1000</f>
        <v>0</v>
      </c>
      <c r="S14" s="42">
        <f>SUM(S8:S13)</f>
        <v>0</v>
      </c>
    </row>
    <row r="15" spans="2:19" ht="23.25" customHeight="1" x14ac:dyDescent="0.3">
      <c r="B15" s="16"/>
      <c r="C15" s="16"/>
      <c r="D15" s="16"/>
      <c r="E15" s="16"/>
      <c r="F15" s="16"/>
      <c r="G15" s="16"/>
      <c r="H15" s="27"/>
      <c r="I15" s="27"/>
      <c r="J15" s="27"/>
      <c r="K15" s="16"/>
      <c r="L15" s="16"/>
      <c r="M15" s="16"/>
      <c r="N15" s="40"/>
      <c r="O15" s="16"/>
      <c r="P15" s="16"/>
      <c r="Q15" s="16"/>
      <c r="R15" s="40"/>
      <c r="S15" s="40"/>
    </row>
    <row r="17" spans="2:3" ht="28.5" customHeight="1" x14ac:dyDescent="0.3">
      <c r="B17" s="368" t="s">
        <v>100</v>
      </c>
      <c r="C17" s="369"/>
    </row>
    <row r="18" spans="2:3" ht="28.5" customHeight="1" x14ac:dyDescent="0.3">
      <c r="B18" s="28" t="s">
        <v>76</v>
      </c>
      <c r="C18" s="30">
        <f>I14*sumry!E7</f>
        <v>0</v>
      </c>
    </row>
    <row r="19" spans="2:3" ht="28.5" customHeight="1" x14ac:dyDescent="0.3">
      <c r="B19" s="28" t="s">
        <v>135</v>
      </c>
      <c r="C19" s="30">
        <f>J14*sumry!E8</f>
        <v>0</v>
      </c>
    </row>
    <row r="20" spans="2:3" ht="28.5" customHeight="1" x14ac:dyDescent="0.3">
      <c r="B20" s="28" t="s">
        <v>77</v>
      </c>
      <c r="C20" s="30">
        <f>S14*sumry!E4</f>
        <v>0</v>
      </c>
    </row>
    <row r="21" spans="2:3" ht="28.5" customHeight="1" x14ac:dyDescent="0.3">
      <c r="B21" s="28" t="s">
        <v>136</v>
      </c>
      <c r="C21" s="30">
        <f>IF(H14=0,0,H14*sumry!H4+sumry!H8)</f>
        <v>0</v>
      </c>
    </row>
    <row r="22" spans="2:3" ht="28.5" customHeight="1" x14ac:dyDescent="0.3">
      <c r="B22" s="28" t="s">
        <v>14</v>
      </c>
      <c r="C22" s="46">
        <f>SUM(C18:C21)</f>
        <v>0</v>
      </c>
    </row>
  </sheetData>
  <mergeCells count="46">
    <mergeCell ref="K14:M14"/>
    <mergeCell ref="B17:C17"/>
    <mergeCell ref="S5:S6"/>
    <mergeCell ref="K5:N5"/>
    <mergeCell ref="O5:R5"/>
    <mergeCell ref="G8:G9"/>
    <mergeCell ref="H8:H9"/>
    <mergeCell ref="I8:I9"/>
    <mergeCell ref="J8:J9"/>
    <mergeCell ref="C10:C11"/>
    <mergeCell ref="D10:D11"/>
    <mergeCell ref="E10:E11"/>
    <mergeCell ref="F10:F11"/>
    <mergeCell ref="G10:G11"/>
    <mergeCell ref="H10:H11"/>
    <mergeCell ref="C14:G14"/>
    <mergeCell ref="B3:S3"/>
    <mergeCell ref="K4:S4"/>
    <mergeCell ref="S8:S9"/>
    <mergeCell ref="S10:S11"/>
    <mergeCell ref="S12:S13"/>
    <mergeCell ref="H12:H13"/>
    <mergeCell ref="I12:I13"/>
    <mergeCell ref="J12:J13"/>
    <mergeCell ref="B8:B9"/>
    <mergeCell ref="B10:B11"/>
    <mergeCell ref="B12:B13"/>
    <mergeCell ref="C12:C13"/>
    <mergeCell ref="D12:D13"/>
    <mergeCell ref="E12:E13"/>
    <mergeCell ref="F12:F13"/>
    <mergeCell ref="G12:G13"/>
    <mergeCell ref="B4:J4"/>
    <mergeCell ref="I10:I11"/>
    <mergeCell ref="J10:J11"/>
    <mergeCell ref="B5:B7"/>
    <mergeCell ref="C8:C9"/>
    <mergeCell ref="D8:D9"/>
    <mergeCell ref="E8:E9"/>
    <mergeCell ref="F8:F9"/>
    <mergeCell ref="C5:E5"/>
    <mergeCell ref="F5:F6"/>
    <mergeCell ref="G5:G6"/>
    <mergeCell ref="H5:H6"/>
    <mergeCell ref="I5:I6"/>
    <mergeCell ref="J5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F364-1D45-4376-A660-EE2A09466A93}">
  <dimension ref="C2:U24"/>
  <sheetViews>
    <sheetView rightToLeft="1" topLeftCell="C1" zoomScale="70" zoomScaleNormal="70" workbookViewId="0">
      <selection activeCell="R16" sqref="R16"/>
    </sheetView>
  </sheetViews>
  <sheetFormatPr defaultRowHeight="14.4" x14ac:dyDescent="0.3"/>
  <cols>
    <col min="3" max="3" width="13.88671875" customWidth="1"/>
    <col min="4" max="21" width="12.21875" customWidth="1"/>
  </cols>
  <sheetData>
    <row r="2" spans="3:21" ht="15" thickBot="1" x14ac:dyDescent="0.35"/>
    <row r="3" spans="3:21" ht="18.600000000000001" thickBot="1" x14ac:dyDescent="0.35">
      <c r="C3" s="373" t="s">
        <v>9</v>
      </c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5"/>
    </row>
    <row r="4" spans="3:21" ht="18.600000000000001" thickBot="1" x14ac:dyDescent="0.35">
      <c r="C4" s="373" t="s">
        <v>85</v>
      </c>
      <c r="D4" s="374"/>
      <c r="E4" s="374"/>
      <c r="F4" s="374"/>
      <c r="G4" s="374"/>
      <c r="H4" s="374"/>
      <c r="I4" s="374"/>
      <c r="J4" s="374"/>
      <c r="K4" s="374"/>
      <c r="L4" s="375"/>
      <c r="M4" s="376" t="s">
        <v>86</v>
      </c>
      <c r="N4" s="377"/>
      <c r="O4" s="377"/>
      <c r="P4" s="377"/>
      <c r="Q4" s="377"/>
      <c r="R4" s="377"/>
      <c r="S4" s="377"/>
      <c r="T4" s="377"/>
      <c r="U4" s="378"/>
    </row>
    <row r="5" spans="3:21" ht="18" x14ac:dyDescent="0.3">
      <c r="C5" s="388" t="s">
        <v>65</v>
      </c>
      <c r="D5" s="393" t="s">
        <v>127</v>
      </c>
      <c r="E5" s="390" t="s">
        <v>1</v>
      </c>
      <c r="F5" s="390"/>
      <c r="G5" s="390"/>
      <c r="H5" s="390" t="s">
        <v>10</v>
      </c>
      <c r="I5" s="390" t="s">
        <v>11</v>
      </c>
      <c r="J5" s="390" t="s">
        <v>7</v>
      </c>
      <c r="K5" s="390" t="s">
        <v>80</v>
      </c>
      <c r="L5" s="391" t="s">
        <v>8</v>
      </c>
      <c r="M5" s="379" t="s">
        <v>91</v>
      </c>
      <c r="N5" s="380"/>
      <c r="O5" s="380"/>
      <c r="P5" s="380"/>
      <c r="Q5" s="380" t="s">
        <v>99</v>
      </c>
      <c r="R5" s="380"/>
      <c r="S5" s="380"/>
      <c r="T5" s="380"/>
      <c r="U5" s="381" t="s">
        <v>98</v>
      </c>
    </row>
    <row r="6" spans="3:21" ht="18" x14ac:dyDescent="0.3">
      <c r="C6" s="386"/>
      <c r="D6" s="394"/>
      <c r="E6" s="17" t="s">
        <v>2</v>
      </c>
      <c r="F6" s="17" t="s">
        <v>3</v>
      </c>
      <c r="G6" s="17" t="s">
        <v>15</v>
      </c>
      <c r="H6" s="359"/>
      <c r="I6" s="359"/>
      <c r="J6" s="359"/>
      <c r="K6" s="359"/>
      <c r="L6" s="392"/>
      <c r="M6" s="81" t="s">
        <v>92</v>
      </c>
      <c r="N6" s="6" t="s">
        <v>93</v>
      </c>
      <c r="O6" s="6" t="s">
        <v>94</v>
      </c>
      <c r="P6" s="6" t="s">
        <v>95</v>
      </c>
      <c r="Q6" s="6" t="s">
        <v>92</v>
      </c>
      <c r="R6" s="6" t="s">
        <v>93</v>
      </c>
      <c r="S6" s="6" t="s">
        <v>94</v>
      </c>
      <c r="T6" s="6" t="s">
        <v>95</v>
      </c>
      <c r="U6" s="382"/>
    </row>
    <row r="7" spans="3:21" ht="18.600000000000001" thickBot="1" x14ac:dyDescent="0.35">
      <c r="C7" s="389"/>
      <c r="D7" s="395"/>
      <c r="E7" s="56" t="s">
        <v>32</v>
      </c>
      <c r="F7" s="56" t="s">
        <v>32</v>
      </c>
      <c r="G7" s="56" t="s">
        <v>32</v>
      </c>
      <c r="H7" s="56" t="s">
        <v>34</v>
      </c>
      <c r="I7" s="56" t="s">
        <v>35</v>
      </c>
      <c r="J7" s="56" t="s">
        <v>34</v>
      </c>
      <c r="K7" s="56" t="s">
        <v>36</v>
      </c>
      <c r="L7" s="57" t="s">
        <v>34</v>
      </c>
      <c r="M7" s="100" t="s">
        <v>35</v>
      </c>
      <c r="N7" s="56" t="s">
        <v>33</v>
      </c>
      <c r="O7" s="56" t="s">
        <v>96</v>
      </c>
      <c r="P7" s="56" t="s">
        <v>97</v>
      </c>
      <c r="Q7" s="56" t="s">
        <v>35</v>
      </c>
      <c r="R7" s="56" t="s">
        <v>33</v>
      </c>
      <c r="S7" s="56" t="s">
        <v>96</v>
      </c>
      <c r="T7" s="56" t="s">
        <v>97</v>
      </c>
      <c r="U7" s="57" t="s">
        <v>36</v>
      </c>
    </row>
    <row r="8" spans="3:21" ht="18" x14ac:dyDescent="0.3">
      <c r="C8" s="384" t="s">
        <v>67</v>
      </c>
      <c r="D8" s="53" t="s">
        <v>137</v>
      </c>
      <c r="E8" s="66">
        <v>80</v>
      </c>
      <c r="F8" s="66">
        <v>25</v>
      </c>
      <c r="G8" s="66">
        <v>320</v>
      </c>
      <c r="H8" s="7">
        <f t="shared" ref="H8:H15" si="0">G8*F8*E8/1000000</f>
        <v>0.64</v>
      </c>
      <c r="I8" s="7">
        <v>6</v>
      </c>
      <c r="J8" s="7">
        <f t="shared" ref="J8:J15" si="1">H8*I8</f>
        <v>3.84</v>
      </c>
      <c r="K8" s="7">
        <f t="shared" ref="K8:K15" si="2">J8*8/20</f>
        <v>1.536</v>
      </c>
      <c r="L8" s="8">
        <f t="shared" ref="L8:L15" si="3">J8*1.2</f>
        <v>4.6079999999999997</v>
      </c>
      <c r="M8" s="122">
        <v>10</v>
      </c>
      <c r="N8" s="7">
        <v>4</v>
      </c>
      <c r="O8" s="5">
        <v>12</v>
      </c>
      <c r="P8" s="5">
        <f>ROUNDUP(IF(O8=14,M8*I8*N8*1.2,IF(O8=16,M8*I8*N8*1.59,M8*I8*N8*0.89)),0)</f>
        <v>214</v>
      </c>
      <c r="Q8" s="5">
        <v>20</v>
      </c>
      <c r="R8" s="7">
        <v>1.9</v>
      </c>
      <c r="S8" s="5">
        <v>8</v>
      </c>
      <c r="T8" s="5">
        <f>ROUNDUP(IF(S8=6,Q8*I8*R8*0.22,IF(S8=10,Q8*I8*R8*0.62,Q8*R8*I8*0.4)),0)</f>
        <v>92</v>
      </c>
      <c r="U8" s="383">
        <f>(T8+T9+P8+P9)/1000</f>
        <v>0.39100000000000001</v>
      </c>
    </row>
    <row r="9" spans="3:21" ht="18" x14ac:dyDescent="0.3">
      <c r="C9" s="385"/>
      <c r="D9" s="28" t="s">
        <v>218</v>
      </c>
      <c r="E9" s="67">
        <v>70</v>
      </c>
      <c r="F9" s="67">
        <v>25</v>
      </c>
      <c r="G9" s="67">
        <v>320</v>
      </c>
      <c r="H9" s="1">
        <f t="shared" si="0"/>
        <v>0.56000000000000005</v>
      </c>
      <c r="I9" s="1">
        <v>2</v>
      </c>
      <c r="J9" s="1">
        <f t="shared" si="1"/>
        <v>1.1200000000000001</v>
      </c>
      <c r="K9" s="1">
        <f t="shared" si="2"/>
        <v>0.44800000000000006</v>
      </c>
      <c r="L9" s="2">
        <f t="shared" si="3"/>
        <v>1.3440000000000001</v>
      </c>
      <c r="M9" s="18">
        <v>8</v>
      </c>
      <c r="N9" s="1">
        <v>4</v>
      </c>
      <c r="O9" s="4">
        <v>12</v>
      </c>
      <c r="P9" s="4">
        <f>ROUNDUP(IF(O9=14,M9*I9*N9*1.2,IF(O9=16,M9*I9*N9*1.59,M9*I9*N9*0.89)),0)</f>
        <v>57</v>
      </c>
      <c r="Q9" s="4">
        <v>20</v>
      </c>
      <c r="R9" s="1">
        <v>1.7</v>
      </c>
      <c r="S9" s="4">
        <v>8</v>
      </c>
      <c r="T9" s="4">
        <f t="shared" ref="T9:T15" si="4">ROUNDUP(IF(S9=6,Q9*I9*R9*0.22,IF(S9=10,Q9*I9*R9*0.62,Q9*R9*I9*0.4)),0)</f>
        <v>28</v>
      </c>
      <c r="U9" s="370"/>
    </row>
    <row r="10" spans="3:21" ht="18" x14ac:dyDescent="0.3">
      <c r="C10" s="386" t="s">
        <v>68</v>
      </c>
      <c r="D10" s="51" t="s">
        <v>137</v>
      </c>
      <c r="E10" s="68">
        <v>60</v>
      </c>
      <c r="F10" s="68">
        <v>25</v>
      </c>
      <c r="G10" s="68">
        <v>320</v>
      </c>
      <c r="H10" s="17">
        <f t="shared" si="0"/>
        <v>0.48</v>
      </c>
      <c r="I10" s="17">
        <v>8</v>
      </c>
      <c r="J10" s="17">
        <f t="shared" si="1"/>
        <v>3.84</v>
      </c>
      <c r="K10" s="17">
        <f t="shared" si="2"/>
        <v>1.536</v>
      </c>
      <c r="L10" s="49">
        <f t="shared" si="3"/>
        <v>4.6079999999999997</v>
      </c>
      <c r="M10" s="81">
        <v>8</v>
      </c>
      <c r="N10" s="17">
        <v>4</v>
      </c>
      <c r="O10" s="6">
        <v>12</v>
      </c>
      <c r="P10" s="6">
        <f t="shared" ref="P10:P12" si="5">ROUNDUP(IF(O10=14,M10*I10*N10*1.2,IF(O10=16,M10*I10*N10*1.59,M10*I10*N10*0.89)),0)</f>
        <v>228</v>
      </c>
      <c r="Q10" s="6">
        <v>20</v>
      </c>
      <c r="R10" s="17">
        <v>1.5</v>
      </c>
      <c r="S10" s="6">
        <v>8</v>
      </c>
      <c r="T10" s="6">
        <f t="shared" si="4"/>
        <v>96</v>
      </c>
      <c r="U10" s="371">
        <f t="shared" ref="U10" si="6">(T10+T11+P10+P11)/1000</f>
        <v>0.59099999999999997</v>
      </c>
    </row>
    <row r="11" spans="3:21" ht="18.600000000000001" thickBot="1" x14ac:dyDescent="0.35">
      <c r="C11" s="386"/>
      <c r="D11" s="51" t="s">
        <v>218</v>
      </c>
      <c r="E11" s="68">
        <v>60</v>
      </c>
      <c r="F11" s="68">
        <v>25</v>
      </c>
      <c r="G11" s="68">
        <v>320</v>
      </c>
      <c r="H11" s="17">
        <f t="shared" si="0"/>
        <v>0.48</v>
      </c>
      <c r="I11" s="17">
        <v>8</v>
      </c>
      <c r="J11" s="17">
        <f t="shared" si="1"/>
        <v>3.84</v>
      </c>
      <c r="K11" s="17">
        <f t="shared" si="2"/>
        <v>1.536</v>
      </c>
      <c r="L11" s="49">
        <f t="shared" si="3"/>
        <v>4.6079999999999997</v>
      </c>
      <c r="M11" s="81">
        <v>6</v>
      </c>
      <c r="N11" s="17">
        <v>4</v>
      </c>
      <c r="O11" s="6">
        <v>12</v>
      </c>
      <c r="P11" s="6">
        <f>ROUNDUP(IF(O11=14,M11*I11*N11*1.2,IF(O11=16,M11*I11*N11*1.59,M11*I11*N11*0.89)),0)</f>
        <v>171</v>
      </c>
      <c r="Q11" s="6">
        <v>20</v>
      </c>
      <c r="R11" s="17">
        <v>1.5</v>
      </c>
      <c r="S11" s="6">
        <v>8</v>
      </c>
      <c r="T11" s="6">
        <f t="shared" si="4"/>
        <v>96</v>
      </c>
      <c r="U11" s="371"/>
    </row>
    <row r="12" spans="3:21" ht="18" hidden="1" x14ac:dyDescent="0.3">
      <c r="C12" s="385" t="s">
        <v>67</v>
      </c>
      <c r="D12" s="28" t="s">
        <v>137</v>
      </c>
      <c r="E12" s="67">
        <v>0</v>
      </c>
      <c r="F12" s="67">
        <v>0</v>
      </c>
      <c r="G12" s="67">
        <v>0</v>
      </c>
      <c r="H12" s="1">
        <f t="shared" si="0"/>
        <v>0</v>
      </c>
      <c r="I12" s="1">
        <v>0</v>
      </c>
      <c r="J12" s="1">
        <f t="shared" si="1"/>
        <v>0</v>
      </c>
      <c r="K12" s="1">
        <f t="shared" si="2"/>
        <v>0</v>
      </c>
      <c r="L12" s="2">
        <f t="shared" si="3"/>
        <v>0</v>
      </c>
      <c r="M12" s="18">
        <v>0</v>
      </c>
      <c r="N12" s="1">
        <f t="shared" ref="N12:N15" si="7">IF(G12=0,0,G12/100+1)</f>
        <v>0</v>
      </c>
      <c r="O12" s="4">
        <v>12</v>
      </c>
      <c r="P12" s="4">
        <f t="shared" si="5"/>
        <v>0</v>
      </c>
      <c r="Q12" s="4">
        <v>0</v>
      </c>
      <c r="R12" s="1">
        <f t="shared" ref="R12:R15" si="8">(E12+E12+F12+F12)/100</f>
        <v>0</v>
      </c>
      <c r="S12" s="4">
        <v>8</v>
      </c>
      <c r="T12" s="4">
        <f t="shared" si="4"/>
        <v>0</v>
      </c>
      <c r="U12" s="370">
        <f>(T12+T13+P12+P13)/1000</f>
        <v>0</v>
      </c>
    </row>
    <row r="13" spans="3:21" ht="18" hidden="1" x14ac:dyDescent="0.3">
      <c r="C13" s="385"/>
      <c r="D13" s="28" t="s">
        <v>31</v>
      </c>
      <c r="E13" s="67">
        <v>0</v>
      </c>
      <c r="F13" s="67">
        <v>0</v>
      </c>
      <c r="G13" s="67">
        <v>0</v>
      </c>
      <c r="H13" s="1">
        <f t="shared" si="0"/>
        <v>0</v>
      </c>
      <c r="I13" s="1">
        <v>0</v>
      </c>
      <c r="J13" s="1">
        <f t="shared" si="1"/>
        <v>0</v>
      </c>
      <c r="K13" s="1">
        <f t="shared" si="2"/>
        <v>0</v>
      </c>
      <c r="L13" s="2">
        <f t="shared" si="3"/>
        <v>0</v>
      </c>
      <c r="M13" s="18">
        <v>0</v>
      </c>
      <c r="N13" s="1">
        <f t="shared" si="7"/>
        <v>0</v>
      </c>
      <c r="O13" s="4">
        <v>12</v>
      </c>
      <c r="P13" s="4">
        <f>ROUNDUP(IF(O13=14,M13*I12*N13*1.2,IF(O13=16,M13*I12*N13*1.59,M13*I12*N13*0.89)),0)</f>
        <v>0</v>
      </c>
      <c r="Q13" s="4">
        <v>0</v>
      </c>
      <c r="R13" s="1">
        <f t="shared" si="8"/>
        <v>0</v>
      </c>
      <c r="S13" s="4">
        <v>8</v>
      </c>
      <c r="T13" s="4">
        <f t="shared" si="4"/>
        <v>0</v>
      </c>
      <c r="U13" s="370"/>
    </row>
    <row r="14" spans="3:21" ht="18" hidden="1" x14ac:dyDescent="0.3">
      <c r="C14" s="386" t="s">
        <v>68</v>
      </c>
      <c r="D14" s="51" t="s">
        <v>137</v>
      </c>
      <c r="E14" s="68">
        <v>0</v>
      </c>
      <c r="F14" s="68">
        <v>0</v>
      </c>
      <c r="G14" s="68">
        <v>0</v>
      </c>
      <c r="H14" s="17">
        <f t="shared" si="0"/>
        <v>0</v>
      </c>
      <c r="I14" s="17">
        <v>0</v>
      </c>
      <c r="J14" s="17">
        <f t="shared" si="1"/>
        <v>0</v>
      </c>
      <c r="K14" s="17">
        <f t="shared" si="2"/>
        <v>0</v>
      </c>
      <c r="L14" s="49">
        <f t="shared" si="3"/>
        <v>0</v>
      </c>
      <c r="M14" s="81">
        <v>0</v>
      </c>
      <c r="N14" s="17">
        <f t="shared" si="7"/>
        <v>0</v>
      </c>
      <c r="O14" s="6">
        <v>12</v>
      </c>
      <c r="P14" s="6">
        <f t="shared" ref="P14:P15" si="9">ROUNDUP(IF(O14=14,M14*I13*N14*1.2,IF(O14=16,M14*I13*N14*1.59,M14*I13*N14*0.89)),0)</f>
        <v>0</v>
      </c>
      <c r="Q14" s="6">
        <v>0</v>
      </c>
      <c r="R14" s="17">
        <f>(E14+E14+F14+F14)/100</f>
        <v>0</v>
      </c>
      <c r="S14" s="6">
        <v>8</v>
      </c>
      <c r="T14" s="6">
        <f t="shared" si="4"/>
        <v>0</v>
      </c>
      <c r="U14" s="371">
        <f>(T14+T15+P14+P15)/1000</f>
        <v>0</v>
      </c>
    </row>
    <row r="15" spans="3:21" ht="18.600000000000001" hidden="1" thickBot="1" x14ac:dyDescent="0.35">
      <c r="C15" s="387"/>
      <c r="D15" s="58" t="s">
        <v>31</v>
      </c>
      <c r="E15" s="69">
        <v>0</v>
      </c>
      <c r="F15" s="69">
        <v>0</v>
      </c>
      <c r="G15" s="69">
        <v>0</v>
      </c>
      <c r="H15" s="59">
        <f t="shared" si="0"/>
        <v>0</v>
      </c>
      <c r="I15" s="59">
        <v>0</v>
      </c>
      <c r="J15" s="59">
        <f t="shared" si="1"/>
        <v>0</v>
      </c>
      <c r="K15" s="59">
        <f t="shared" si="2"/>
        <v>0</v>
      </c>
      <c r="L15" s="60">
        <f t="shared" si="3"/>
        <v>0</v>
      </c>
      <c r="M15" s="123">
        <v>0</v>
      </c>
      <c r="N15" s="59">
        <f t="shared" si="7"/>
        <v>0</v>
      </c>
      <c r="O15" s="61">
        <v>12</v>
      </c>
      <c r="P15" s="61">
        <f t="shared" si="9"/>
        <v>0</v>
      </c>
      <c r="Q15" s="61">
        <v>0</v>
      </c>
      <c r="R15" s="59">
        <f t="shared" si="8"/>
        <v>0</v>
      </c>
      <c r="S15" s="61">
        <v>8</v>
      </c>
      <c r="T15" s="61">
        <f t="shared" si="4"/>
        <v>0</v>
      </c>
      <c r="U15" s="372"/>
    </row>
    <row r="16" spans="3:21" ht="21.6" thickBot="1" x14ac:dyDescent="0.35">
      <c r="C16" s="396" t="s">
        <v>14</v>
      </c>
      <c r="D16" s="397"/>
      <c r="E16" s="397"/>
      <c r="F16" s="397"/>
      <c r="G16" s="397"/>
      <c r="H16" s="397"/>
      <c r="I16" s="398"/>
      <c r="J16" s="48">
        <f>SUM(J8:J14)</f>
        <v>12.64</v>
      </c>
      <c r="K16" s="48">
        <f>SUM(K8:K14)</f>
        <v>5.056</v>
      </c>
      <c r="L16" s="62">
        <f>SUM(L8:L14)</f>
        <v>15.167999999999999</v>
      </c>
      <c r="M16" s="124" t="s">
        <v>140</v>
      </c>
      <c r="N16" s="70">
        <f>SUMIF(O8:O15,"14",P8:P15)/1000</f>
        <v>0</v>
      </c>
      <c r="O16" s="63" t="s">
        <v>138</v>
      </c>
      <c r="P16" s="71">
        <f>SUMIF(O8:O15,"12",P8:P15)/1000</f>
        <v>0.67</v>
      </c>
      <c r="Q16" s="64" t="s">
        <v>139</v>
      </c>
      <c r="R16" s="70">
        <f>SUMIF(S8:S15,"8",T8:T15)/1000</f>
        <v>0.312</v>
      </c>
      <c r="S16" s="63" t="s">
        <v>115</v>
      </c>
      <c r="T16" s="72">
        <f>SUMIF(S8:S15,"6",T8:T15)/1000</f>
        <v>0</v>
      </c>
      <c r="U16" s="65">
        <f>SUM(U8:U15)</f>
        <v>0.98199999999999998</v>
      </c>
    </row>
    <row r="19" spans="3:4" ht="18" x14ac:dyDescent="0.3">
      <c r="C19" s="368" t="s">
        <v>100</v>
      </c>
      <c r="D19" s="369"/>
    </row>
    <row r="20" spans="3:4" ht="18" x14ac:dyDescent="0.3">
      <c r="C20" s="28" t="s">
        <v>76</v>
      </c>
      <c r="D20" s="30">
        <f>K16*sumry!E7</f>
        <v>657.28</v>
      </c>
    </row>
    <row r="21" spans="3:4" ht="18" x14ac:dyDescent="0.3">
      <c r="C21" s="28" t="s">
        <v>135</v>
      </c>
      <c r="D21" s="30">
        <f>L16*sumry!E8</f>
        <v>203.93949579831931</v>
      </c>
    </row>
    <row r="22" spans="3:4" ht="18" x14ac:dyDescent="0.3">
      <c r="C22" s="28" t="s">
        <v>77</v>
      </c>
      <c r="D22" s="30">
        <f>(N16*sumry!E4+Columns!P16*sumry!E4+Columns!R16*sumry!E5+Columns!T16*sumry!E6)</f>
        <v>644.31000000000006</v>
      </c>
    </row>
    <row r="23" spans="3:4" ht="18" x14ac:dyDescent="0.3">
      <c r="C23" s="28" t="s">
        <v>136</v>
      </c>
      <c r="D23" s="30">
        <f>SUM(I8:I15)*(sumry!H6+sumry!H11)</f>
        <v>675.63025210084038</v>
      </c>
    </row>
    <row r="24" spans="3:4" ht="21" x14ac:dyDescent="0.3">
      <c r="C24" s="28" t="s">
        <v>14</v>
      </c>
      <c r="D24" s="46">
        <f>SUM(D20:D23)</f>
        <v>2181.1597478991598</v>
      </c>
    </row>
  </sheetData>
  <mergeCells count="24">
    <mergeCell ref="J5:J6"/>
    <mergeCell ref="K5:K6"/>
    <mergeCell ref="L5:L6"/>
    <mergeCell ref="D5:D7"/>
    <mergeCell ref="C16:I16"/>
    <mergeCell ref="E5:G5"/>
    <mergeCell ref="H5:H6"/>
    <mergeCell ref="I5:I6"/>
    <mergeCell ref="C19:D19"/>
    <mergeCell ref="U12:U13"/>
    <mergeCell ref="U14:U15"/>
    <mergeCell ref="C3:U3"/>
    <mergeCell ref="C4:L4"/>
    <mergeCell ref="M4:U4"/>
    <mergeCell ref="M5:P5"/>
    <mergeCell ref="Q5:T5"/>
    <mergeCell ref="U5:U6"/>
    <mergeCell ref="U8:U9"/>
    <mergeCell ref="U10:U11"/>
    <mergeCell ref="C8:C9"/>
    <mergeCell ref="C10:C11"/>
    <mergeCell ref="C12:C13"/>
    <mergeCell ref="C14:C15"/>
    <mergeCell ref="C5:C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1828-7546-4423-A950-1EA0C68DE178}">
  <dimension ref="C2:T22"/>
  <sheetViews>
    <sheetView rightToLeft="1" zoomScale="85" zoomScaleNormal="85" workbookViewId="0">
      <selection activeCell="L10" sqref="L10"/>
    </sheetView>
  </sheetViews>
  <sheetFormatPr defaultRowHeight="14.4" x14ac:dyDescent="0.3"/>
  <cols>
    <col min="3" max="3" width="12.77734375" customWidth="1"/>
    <col min="4" max="20" width="10.88671875" customWidth="1"/>
  </cols>
  <sheetData>
    <row r="2" spans="3:20" ht="15" thickBot="1" x14ac:dyDescent="0.35"/>
    <row r="3" spans="3:20" ht="21.6" thickBot="1" x14ac:dyDescent="0.35">
      <c r="C3" s="399" t="s">
        <v>12</v>
      </c>
      <c r="D3" s="400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  <c r="T3" s="401"/>
    </row>
    <row r="4" spans="3:20" ht="18" x14ac:dyDescent="0.3">
      <c r="C4" s="402" t="s">
        <v>85</v>
      </c>
      <c r="D4" s="403"/>
      <c r="E4" s="403"/>
      <c r="F4" s="403"/>
      <c r="G4" s="403"/>
      <c r="H4" s="403"/>
      <c r="I4" s="403"/>
      <c r="J4" s="403"/>
      <c r="K4" s="404"/>
      <c r="L4" s="407" t="s">
        <v>86</v>
      </c>
      <c r="M4" s="408"/>
      <c r="N4" s="408"/>
      <c r="O4" s="408"/>
      <c r="P4" s="408"/>
      <c r="Q4" s="408"/>
      <c r="R4" s="408"/>
      <c r="S4" s="408"/>
      <c r="T4" s="409"/>
    </row>
    <row r="5" spans="3:20" ht="18" x14ac:dyDescent="0.3">
      <c r="C5" s="386" t="s">
        <v>141</v>
      </c>
      <c r="D5" s="359" t="s">
        <v>1</v>
      </c>
      <c r="E5" s="359"/>
      <c r="F5" s="359"/>
      <c r="G5" s="359" t="s">
        <v>16</v>
      </c>
      <c r="H5" s="359" t="s">
        <v>17</v>
      </c>
      <c r="I5" s="359" t="s">
        <v>7</v>
      </c>
      <c r="J5" s="359" t="s">
        <v>80</v>
      </c>
      <c r="K5" s="392" t="s">
        <v>8</v>
      </c>
      <c r="L5" s="410" t="s">
        <v>91</v>
      </c>
      <c r="M5" s="358"/>
      <c r="N5" s="358"/>
      <c r="O5" s="358"/>
      <c r="P5" s="358" t="s">
        <v>99</v>
      </c>
      <c r="Q5" s="358"/>
      <c r="R5" s="358"/>
      <c r="S5" s="358"/>
      <c r="T5" s="382" t="s">
        <v>98</v>
      </c>
    </row>
    <row r="6" spans="3:20" ht="36" x14ac:dyDescent="0.3">
      <c r="C6" s="386"/>
      <c r="D6" s="17" t="s">
        <v>2</v>
      </c>
      <c r="E6" s="17" t="s">
        <v>3</v>
      </c>
      <c r="F6" s="17" t="s">
        <v>4</v>
      </c>
      <c r="G6" s="359"/>
      <c r="H6" s="359"/>
      <c r="I6" s="359"/>
      <c r="J6" s="359"/>
      <c r="K6" s="392"/>
      <c r="L6" s="81" t="s">
        <v>92</v>
      </c>
      <c r="M6" s="6" t="s">
        <v>93</v>
      </c>
      <c r="N6" s="6" t="s">
        <v>94</v>
      </c>
      <c r="O6" s="6" t="s">
        <v>95</v>
      </c>
      <c r="P6" s="6" t="s">
        <v>92</v>
      </c>
      <c r="Q6" s="6" t="s">
        <v>93</v>
      </c>
      <c r="R6" s="6" t="s">
        <v>94</v>
      </c>
      <c r="S6" s="6" t="s">
        <v>95</v>
      </c>
      <c r="T6" s="382"/>
    </row>
    <row r="7" spans="3:20" ht="18" x14ac:dyDescent="0.3">
      <c r="C7" s="386"/>
      <c r="D7" s="17" t="s">
        <v>33</v>
      </c>
      <c r="E7" s="17" t="s">
        <v>32</v>
      </c>
      <c r="F7" s="17" t="s">
        <v>32</v>
      </c>
      <c r="G7" s="17" t="s">
        <v>34</v>
      </c>
      <c r="H7" s="17" t="s">
        <v>35</v>
      </c>
      <c r="I7" s="17" t="s">
        <v>34</v>
      </c>
      <c r="J7" s="17" t="s">
        <v>36</v>
      </c>
      <c r="K7" s="49" t="s">
        <v>34</v>
      </c>
      <c r="L7" s="23" t="s">
        <v>35</v>
      </c>
      <c r="M7" s="17" t="s">
        <v>33</v>
      </c>
      <c r="N7" s="17" t="s">
        <v>96</v>
      </c>
      <c r="O7" s="17" t="s">
        <v>97</v>
      </c>
      <c r="P7" s="17" t="s">
        <v>35</v>
      </c>
      <c r="Q7" s="17" t="s">
        <v>33</v>
      </c>
      <c r="R7" s="17" t="s">
        <v>96</v>
      </c>
      <c r="S7" s="17" t="s">
        <v>97</v>
      </c>
      <c r="T7" s="49" t="s">
        <v>36</v>
      </c>
    </row>
    <row r="8" spans="3:20" ht="18" x14ac:dyDescent="0.3">
      <c r="C8" s="45" t="s">
        <v>142</v>
      </c>
      <c r="D8" s="1">
        <v>0</v>
      </c>
      <c r="E8" s="1">
        <v>0</v>
      </c>
      <c r="F8" s="1">
        <v>0</v>
      </c>
      <c r="G8" s="1">
        <f>F8*E8*D8/10000</f>
        <v>0</v>
      </c>
      <c r="H8" s="1">
        <v>0</v>
      </c>
      <c r="I8" s="1">
        <f t="shared" ref="I8:I13" si="0">G8*H8</f>
        <v>0</v>
      </c>
      <c r="J8" s="1">
        <f t="shared" ref="J8:J13" si="1">I8*7/20</f>
        <v>0</v>
      </c>
      <c r="K8" s="2">
        <f t="shared" ref="K8:K13" si="2">I8*1.2</f>
        <v>0</v>
      </c>
      <c r="L8" s="18">
        <v>5</v>
      </c>
      <c r="M8" s="1">
        <f>D8</f>
        <v>0</v>
      </c>
      <c r="N8" s="4">
        <v>12</v>
      </c>
      <c r="O8" s="4">
        <f>ROUNDUP(IF(N8=14,L8*H8*M8*1.2,IF(N8=16,L8*H8*M8*1.59,L8*H8*M8*0.89)),0)</f>
        <v>0</v>
      </c>
      <c r="P8" s="4">
        <f>M8*5</f>
        <v>0</v>
      </c>
      <c r="Q8" s="1">
        <v>1.5</v>
      </c>
      <c r="R8" s="4">
        <v>8</v>
      </c>
      <c r="S8" s="4">
        <f>ROUNDUP(IF(R8=6,P8*H8*Q8*0.22,IF(R8=10,P8*H8*Q8*0.62,P8*Q8*H8*0.4)),0)</f>
        <v>0</v>
      </c>
      <c r="T8" s="50">
        <f>(S8+O8)/1000</f>
        <v>0</v>
      </c>
    </row>
    <row r="9" spans="3:20" ht="18" x14ac:dyDescent="0.3">
      <c r="C9" s="45" t="s">
        <v>143</v>
      </c>
      <c r="D9" s="1">
        <v>0</v>
      </c>
      <c r="E9" s="1">
        <v>0</v>
      </c>
      <c r="F9" s="1">
        <v>0</v>
      </c>
      <c r="G9" s="1">
        <f>F9*E9*D9/10000</f>
        <v>0</v>
      </c>
      <c r="H9" s="1">
        <v>0</v>
      </c>
      <c r="I9" s="1">
        <f t="shared" si="0"/>
        <v>0</v>
      </c>
      <c r="J9" s="1">
        <f t="shared" si="1"/>
        <v>0</v>
      </c>
      <c r="K9" s="2">
        <f t="shared" si="2"/>
        <v>0</v>
      </c>
      <c r="L9" s="18">
        <v>5</v>
      </c>
      <c r="M9" s="1">
        <f t="shared" ref="M9:M13" si="3">D9</f>
        <v>0</v>
      </c>
      <c r="N9" s="4">
        <v>12</v>
      </c>
      <c r="O9" s="4">
        <f t="shared" ref="O9:O13" si="4">ROUNDUP(IF(N9=14,L9*H9*M9*1.2,IF(N9=16,L9*H9*M9*1.59,L9*H9*M9*0.89)),0)</f>
        <v>0</v>
      </c>
      <c r="P9" s="4">
        <f>M9*5</f>
        <v>0</v>
      </c>
      <c r="Q9" s="1">
        <v>1.5</v>
      </c>
      <c r="R9" s="4">
        <v>8</v>
      </c>
      <c r="S9" s="4">
        <f t="shared" ref="S9:S13" si="5">ROUNDUP(IF(R9=6,P9*H9*Q9*0.22,IF(R9=10,P9*H9*Q9*0.62,P9*Q9*H9*0.4)),0)</f>
        <v>0</v>
      </c>
      <c r="T9" s="50">
        <f t="shared" ref="T9:T13" si="6">(S9+O9)/1000</f>
        <v>0</v>
      </c>
    </row>
    <row r="10" spans="3:20" ht="18" x14ac:dyDescent="0.3">
      <c r="C10" s="45" t="s">
        <v>144</v>
      </c>
      <c r="D10" s="1">
        <v>0</v>
      </c>
      <c r="E10" s="1">
        <v>0</v>
      </c>
      <c r="F10" s="1">
        <v>0</v>
      </c>
      <c r="G10" s="1">
        <f t="shared" ref="G10:G13" si="7">F10*E10*D10/10000</f>
        <v>0</v>
      </c>
      <c r="H10" s="1">
        <v>0</v>
      </c>
      <c r="I10" s="1">
        <f t="shared" si="0"/>
        <v>0</v>
      </c>
      <c r="J10" s="1">
        <f t="shared" si="1"/>
        <v>0</v>
      </c>
      <c r="K10" s="2">
        <f t="shared" si="2"/>
        <v>0</v>
      </c>
      <c r="L10" s="18">
        <v>5</v>
      </c>
      <c r="M10" s="1">
        <f t="shared" si="3"/>
        <v>0</v>
      </c>
      <c r="N10" s="4">
        <v>12</v>
      </c>
      <c r="O10" s="4">
        <f t="shared" si="4"/>
        <v>0</v>
      </c>
      <c r="P10" s="4">
        <f t="shared" ref="P10:P13" si="8">M10*5</f>
        <v>0</v>
      </c>
      <c r="Q10" s="1">
        <v>1.5</v>
      </c>
      <c r="R10" s="4">
        <v>8</v>
      </c>
      <c r="S10" s="4">
        <f t="shared" si="5"/>
        <v>0</v>
      </c>
      <c r="T10" s="50">
        <f t="shared" si="6"/>
        <v>0</v>
      </c>
    </row>
    <row r="11" spans="3:20" ht="18" x14ac:dyDescent="0.3">
      <c r="C11" s="45" t="s">
        <v>145</v>
      </c>
      <c r="D11" s="1">
        <v>0</v>
      </c>
      <c r="E11" s="1">
        <v>0</v>
      </c>
      <c r="F11" s="1">
        <v>0</v>
      </c>
      <c r="G11" s="1">
        <f t="shared" si="7"/>
        <v>0</v>
      </c>
      <c r="H11" s="1">
        <v>0</v>
      </c>
      <c r="I11" s="1">
        <f t="shared" si="0"/>
        <v>0</v>
      </c>
      <c r="J11" s="1">
        <f t="shared" si="1"/>
        <v>0</v>
      </c>
      <c r="K11" s="2">
        <f t="shared" si="2"/>
        <v>0</v>
      </c>
      <c r="L11" s="18">
        <v>5</v>
      </c>
      <c r="M11" s="1">
        <f t="shared" si="3"/>
        <v>0</v>
      </c>
      <c r="N11" s="4">
        <v>12</v>
      </c>
      <c r="O11" s="4">
        <f t="shared" si="4"/>
        <v>0</v>
      </c>
      <c r="P11" s="4">
        <f t="shared" si="8"/>
        <v>0</v>
      </c>
      <c r="Q11" s="1">
        <v>1.5</v>
      </c>
      <c r="R11" s="4">
        <v>8</v>
      </c>
      <c r="S11" s="4">
        <f t="shared" si="5"/>
        <v>0</v>
      </c>
      <c r="T11" s="50">
        <f t="shared" si="6"/>
        <v>0</v>
      </c>
    </row>
    <row r="12" spans="3:20" ht="18" x14ac:dyDescent="0.3">
      <c r="C12" s="45" t="s">
        <v>146</v>
      </c>
      <c r="D12" s="1">
        <v>0</v>
      </c>
      <c r="E12" s="1">
        <v>0</v>
      </c>
      <c r="F12" s="1">
        <v>0</v>
      </c>
      <c r="G12" s="1">
        <f t="shared" si="7"/>
        <v>0</v>
      </c>
      <c r="H12" s="1">
        <v>0</v>
      </c>
      <c r="I12" s="1">
        <f t="shared" si="0"/>
        <v>0</v>
      </c>
      <c r="J12" s="1">
        <f t="shared" si="1"/>
        <v>0</v>
      </c>
      <c r="K12" s="2">
        <f t="shared" si="2"/>
        <v>0</v>
      </c>
      <c r="L12" s="18">
        <v>0</v>
      </c>
      <c r="M12" s="1">
        <f t="shared" si="3"/>
        <v>0</v>
      </c>
      <c r="N12" s="4">
        <v>12</v>
      </c>
      <c r="O12" s="4">
        <f t="shared" si="4"/>
        <v>0</v>
      </c>
      <c r="P12" s="4">
        <f t="shared" si="8"/>
        <v>0</v>
      </c>
      <c r="Q12" s="1">
        <v>0</v>
      </c>
      <c r="R12" s="4">
        <v>8</v>
      </c>
      <c r="S12" s="4">
        <f t="shared" si="5"/>
        <v>0</v>
      </c>
      <c r="T12" s="50">
        <f t="shared" si="6"/>
        <v>0</v>
      </c>
    </row>
    <row r="13" spans="3:20" ht="18" x14ac:dyDescent="0.3">
      <c r="C13" s="45" t="s">
        <v>147</v>
      </c>
      <c r="D13" s="1">
        <v>0</v>
      </c>
      <c r="E13" s="1">
        <v>0</v>
      </c>
      <c r="F13" s="1">
        <v>0</v>
      </c>
      <c r="G13" s="1">
        <f t="shared" si="7"/>
        <v>0</v>
      </c>
      <c r="H13" s="1">
        <v>0</v>
      </c>
      <c r="I13" s="1">
        <f t="shared" si="0"/>
        <v>0</v>
      </c>
      <c r="J13" s="1">
        <f t="shared" si="1"/>
        <v>0</v>
      </c>
      <c r="K13" s="2">
        <f t="shared" si="2"/>
        <v>0</v>
      </c>
      <c r="L13" s="18">
        <v>0</v>
      </c>
      <c r="M13" s="1">
        <f t="shared" si="3"/>
        <v>0</v>
      </c>
      <c r="N13" s="4">
        <v>12</v>
      </c>
      <c r="O13" s="4">
        <f t="shared" si="4"/>
        <v>0</v>
      </c>
      <c r="P13" s="4">
        <f t="shared" si="8"/>
        <v>0</v>
      </c>
      <c r="Q13" s="1">
        <v>0</v>
      </c>
      <c r="R13" s="4">
        <v>8</v>
      </c>
      <c r="S13" s="4">
        <f t="shared" si="5"/>
        <v>0</v>
      </c>
      <c r="T13" s="50">
        <f t="shared" si="6"/>
        <v>0</v>
      </c>
    </row>
    <row r="14" spans="3:20" ht="21.6" thickBot="1" x14ac:dyDescent="0.35">
      <c r="C14" s="405" t="s">
        <v>14</v>
      </c>
      <c r="D14" s="406"/>
      <c r="E14" s="406"/>
      <c r="F14" s="406"/>
      <c r="G14" s="406"/>
      <c r="H14" s="406"/>
      <c r="I14" s="73">
        <f>SUM(I8:I13)</f>
        <v>0</v>
      </c>
      <c r="J14" s="73">
        <f>SUM(J8:J13)</f>
        <v>0</v>
      </c>
      <c r="K14" s="77">
        <f>SUM(K8:K13)</f>
        <v>0</v>
      </c>
      <c r="L14" s="54" t="s">
        <v>140</v>
      </c>
      <c r="M14" s="78">
        <f>SUMIF(N6:N13,"14",O6:O13)/1000</f>
        <v>0</v>
      </c>
      <c r="N14" s="44" t="s">
        <v>138</v>
      </c>
      <c r="O14" s="74">
        <f>SUMIF(N6:N13,"12",O6:O13)/1000</f>
        <v>0</v>
      </c>
      <c r="P14" s="55" t="s">
        <v>139</v>
      </c>
      <c r="Q14" s="78">
        <f>SUMIF(R6:R13,"8",S6:S13)/1000</f>
        <v>0</v>
      </c>
      <c r="R14" s="44" t="s">
        <v>115</v>
      </c>
      <c r="S14" s="79">
        <f>SUMIF(R6:R13,"6",S6:S13)/1000</f>
        <v>0</v>
      </c>
      <c r="T14" s="80">
        <f>SUM(T6:T13)</f>
        <v>0</v>
      </c>
    </row>
    <row r="17" spans="3:4" ht="18" x14ac:dyDescent="0.3">
      <c r="C17" s="368" t="s">
        <v>100</v>
      </c>
      <c r="D17" s="369"/>
    </row>
    <row r="18" spans="3:4" ht="18" x14ac:dyDescent="0.3">
      <c r="C18" s="28" t="s">
        <v>76</v>
      </c>
      <c r="D18" s="30">
        <f>J14*sumry!E7</f>
        <v>0</v>
      </c>
    </row>
    <row r="19" spans="3:4" ht="18" x14ac:dyDescent="0.3">
      <c r="C19" s="28" t="s">
        <v>135</v>
      </c>
      <c r="D19" s="30">
        <f>K14*sumry!E8</f>
        <v>0</v>
      </c>
    </row>
    <row r="20" spans="3:4" ht="18" x14ac:dyDescent="0.3">
      <c r="C20" s="28" t="s">
        <v>77</v>
      </c>
      <c r="D20" s="30">
        <f>M14*sumry!E4+Beams!O14*sumry!E4+Beams!Q14*sumry!E5+Beams!S14*sumry!E6</f>
        <v>0</v>
      </c>
    </row>
    <row r="21" spans="3:4" ht="18" x14ac:dyDescent="0.3">
      <c r="C21" s="28" t="s">
        <v>136</v>
      </c>
      <c r="D21" s="30">
        <f>IF(SUM(D8:D13)=0,0,SUM(D8:D13)/3*sumry!H4+sumry!H9)</f>
        <v>0</v>
      </c>
    </row>
    <row r="22" spans="3:4" ht="21" x14ac:dyDescent="0.3">
      <c r="C22" s="28" t="s">
        <v>14</v>
      </c>
      <c r="D22" s="46">
        <f>SUM(D18:D21)</f>
        <v>0</v>
      </c>
    </row>
  </sheetData>
  <mergeCells count="15">
    <mergeCell ref="C5:C7"/>
    <mergeCell ref="C3:T3"/>
    <mergeCell ref="C4:K4"/>
    <mergeCell ref="C14:H14"/>
    <mergeCell ref="C17:D17"/>
    <mergeCell ref="L4:T4"/>
    <mergeCell ref="L5:O5"/>
    <mergeCell ref="P5:S5"/>
    <mergeCell ref="T5:T6"/>
    <mergeCell ref="D5:F5"/>
    <mergeCell ref="G5:G6"/>
    <mergeCell ref="H5:H6"/>
    <mergeCell ref="I5:I6"/>
    <mergeCell ref="J5:J6"/>
    <mergeCell ref="K5:K6"/>
  </mergeCells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EC37-96E3-4BEC-9C84-CADF1A26E2B9}">
  <dimension ref="C2:U44"/>
  <sheetViews>
    <sheetView rightToLeft="1" topLeftCell="A22" zoomScale="70" zoomScaleNormal="70" workbookViewId="0">
      <selection activeCell="R29" sqref="R29"/>
    </sheetView>
  </sheetViews>
  <sheetFormatPr defaultRowHeight="14.4" x14ac:dyDescent="0.3"/>
  <cols>
    <col min="3" max="3" width="15.77734375" customWidth="1"/>
    <col min="4" max="17" width="10.33203125" customWidth="1"/>
    <col min="21" max="21" width="14.77734375" customWidth="1"/>
  </cols>
  <sheetData>
    <row r="2" spans="3:17" ht="15" thickBot="1" x14ac:dyDescent="0.35"/>
    <row r="3" spans="3:17" ht="18.600000000000001" thickBot="1" x14ac:dyDescent="0.35">
      <c r="C3" s="411" t="s">
        <v>59</v>
      </c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3"/>
    </row>
    <row r="4" spans="3:17" ht="18" x14ac:dyDescent="0.3">
      <c r="C4" s="414" t="s">
        <v>85</v>
      </c>
      <c r="D4" s="415"/>
      <c r="E4" s="415"/>
      <c r="F4" s="415"/>
      <c r="G4" s="415"/>
      <c r="H4" s="416"/>
      <c r="I4" s="417" t="s">
        <v>86</v>
      </c>
      <c r="J4" s="418"/>
      <c r="K4" s="418"/>
      <c r="L4" s="418"/>
      <c r="M4" s="418"/>
      <c r="N4" s="418"/>
      <c r="O4" s="418"/>
      <c r="P4" s="418"/>
      <c r="Q4" s="419"/>
    </row>
    <row r="5" spans="3:17" ht="18" x14ac:dyDescent="0.3">
      <c r="C5" s="423" t="s">
        <v>1</v>
      </c>
      <c r="D5" s="359"/>
      <c r="E5" s="359"/>
      <c r="F5" s="359" t="s">
        <v>60</v>
      </c>
      <c r="G5" s="359" t="s">
        <v>80</v>
      </c>
      <c r="H5" s="392" t="s">
        <v>8</v>
      </c>
      <c r="I5" s="420" t="s">
        <v>91</v>
      </c>
      <c r="J5" s="358"/>
      <c r="K5" s="358"/>
      <c r="L5" s="358"/>
      <c r="M5" s="358" t="s">
        <v>99</v>
      </c>
      <c r="N5" s="358"/>
      <c r="O5" s="358"/>
      <c r="P5" s="358"/>
      <c r="Q5" s="382" t="s">
        <v>98</v>
      </c>
    </row>
    <row r="6" spans="3:17" ht="36" x14ac:dyDescent="0.3">
      <c r="C6" s="23" t="s">
        <v>2</v>
      </c>
      <c r="D6" s="17" t="s">
        <v>3</v>
      </c>
      <c r="E6" s="17" t="s">
        <v>4</v>
      </c>
      <c r="F6" s="359"/>
      <c r="G6" s="359"/>
      <c r="H6" s="392"/>
      <c r="I6" s="52" t="s">
        <v>92</v>
      </c>
      <c r="J6" s="6" t="s">
        <v>93</v>
      </c>
      <c r="K6" s="6" t="s">
        <v>94</v>
      </c>
      <c r="L6" s="6" t="s">
        <v>95</v>
      </c>
      <c r="M6" s="6" t="s">
        <v>92</v>
      </c>
      <c r="N6" s="6" t="s">
        <v>93</v>
      </c>
      <c r="O6" s="6" t="s">
        <v>94</v>
      </c>
      <c r="P6" s="6" t="s">
        <v>95</v>
      </c>
      <c r="Q6" s="382"/>
    </row>
    <row r="7" spans="3:17" ht="18" x14ac:dyDescent="0.3">
      <c r="C7" s="23" t="s">
        <v>33</v>
      </c>
      <c r="D7" s="17" t="s">
        <v>33</v>
      </c>
      <c r="E7" s="17" t="s">
        <v>32</v>
      </c>
      <c r="F7" s="17" t="s">
        <v>34</v>
      </c>
      <c r="G7" s="17" t="s">
        <v>36</v>
      </c>
      <c r="H7" s="49" t="s">
        <v>34</v>
      </c>
      <c r="I7" s="75" t="s">
        <v>35</v>
      </c>
      <c r="J7" s="17" t="s">
        <v>33</v>
      </c>
      <c r="K7" s="17" t="s">
        <v>96</v>
      </c>
      <c r="L7" s="17" t="s">
        <v>97</v>
      </c>
      <c r="M7" s="17" t="s">
        <v>35</v>
      </c>
      <c r="N7" s="17" t="s">
        <v>33</v>
      </c>
      <c r="O7" s="17" t="s">
        <v>96</v>
      </c>
      <c r="P7" s="17" t="s">
        <v>97</v>
      </c>
      <c r="Q7" s="49" t="s">
        <v>36</v>
      </c>
    </row>
    <row r="8" spans="3:17" ht="18" x14ac:dyDescent="0.3">
      <c r="C8" s="3">
        <v>0</v>
      </c>
      <c r="D8" s="1">
        <v>0</v>
      </c>
      <c r="E8" s="1">
        <v>0</v>
      </c>
      <c r="F8" s="1">
        <f>E8*D8*C8/100</f>
        <v>0</v>
      </c>
      <c r="G8" s="1">
        <f>F8*7/20</f>
        <v>0</v>
      </c>
      <c r="H8" s="2">
        <f>F8*1.2</f>
        <v>0</v>
      </c>
      <c r="I8" s="9">
        <f>ROUNDUP(C8*4.5,0)</f>
        <v>0</v>
      </c>
      <c r="J8" s="1">
        <f>D8</f>
        <v>0</v>
      </c>
      <c r="K8" s="4">
        <v>10</v>
      </c>
      <c r="L8" s="4">
        <f>ROUNDUP(IF(K8=12,I8*J8*0.89,IF(K8=8,I8*J8*0.4,I8*J8*0.62)),0)</f>
        <v>0</v>
      </c>
      <c r="M8" s="4">
        <f>ROUNDUP(D8*4,0)</f>
        <v>0</v>
      </c>
      <c r="N8" s="1">
        <f>C8</f>
        <v>0</v>
      </c>
      <c r="O8" s="4">
        <v>8</v>
      </c>
      <c r="P8" s="4">
        <f>ROUNDUP(IF(O8=6,M8*N8*0.22,IF(O8=10,M8*N8*0.62,M8*N8*0.4)),0)</f>
        <v>0</v>
      </c>
      <c r="Q8" s="421">
        <f>(P8+L8)/1000</f>
        <v>0</v>
      </c>
    </row>
    <row r="9" spans="3:17" ht="18.600000000000001" thickBot="1" x14ac:dyDescent="0.35">
      <c r="C9" s="405" t="s">
        <v>14</v>
      </c>
      <c r="D9" s="406"/>
      <c r="E9" s="406"/>
      <c r="F9" s="406"/>
      <c r="G9" s="73">
        <f>SUM(G8:G8)</f>
        <v>0</v>
      </c>
      <c r="H9" s="77">
        <f>SUM(H8:H8)</f>
        <v>0</v>
      </c>
      <c r="I9" s="76" t="s">
        <v>148</v>
      </c>
      <c r="J9" s="74">
        <f>IF(K8=12,L8,0)/1000</f>
        <v>0</v>
      </c>
      <c r="K9" s="21" t="s">
        <v>149</v>
      </c>
      <c r="L9" s="74">
        <f>IF(K8=10,IF(O8=10,L8+P8,IF(K8=10,L8,0)),IF(O8=10,P8,0))/1000</f>
        <v>0</v>
      </c>
      <c r="M9" s="21" t="s">
        <v>150</v>
      </c>
      <c r="N9" s="74">
        <f>IF(K8=8,IF(O8=8,L8+P8,IF(K8=8,L8,0)),IF(O8=8,P8,0))/1000</f>
        <v>0</v>
      </c>
      <c r="O9" s="21" t="s">
        <v>151</v>
      </c>
      <c r="P9" s="74">
        <f>IF(K8=6,IF(O8=6,L8+P8,IF(K8=6,L8,0)),IF(O8=6,P8,0))/1000</f>
        <v>0</v>
      </c>
      <c r="Q9" s="422"/>
    </row>
    <row r="11" spans="3:17" ht="18" x14ac:dyDescent="0.3">
      <c r="C11" s="368" t="s">
        <v>100</v>
      </c>
      <c r="D11" s="369"/>
    </row>
    <row r="12" spans="3:17" ht="18" x14ac:dyDescent="0.3">
      <c r="C12" s="28" t="s">
        <v>76</v>
      </c>
      <c r="D12" s="30">
        <f>G9*sumry!E7</f>
        <v>0</v>
      </c>
    </row>
    <row r="13" spans="3:17" ht="18" x14ac:dyDescent="0.3">
      <c r="C13" s="28" t="s">
        <v>135</v>
      </c>
      <c r="D13" s="30">
        <f>H9*sumry!E8</f>
        <v>0</v>
      </c>
    </row>
    <row r="14" spans="3:17" ht="18" x14ac:dyDescent="0.3">
      <c r="C14" s="28" t="s">
        <v>77</v>
      </c>
      <c r="D14" s="30">
        <f>J9*sumry!E4+Slaps!L9*sumry!E5+Slaps!N9*sumry!E5+Slaps!P9*sumry!E6</f>
        <v>0</v>
      </c>
    </row>
    <row r="15" spans="3:17" ht="18" x14ac:dyDescent="0.3">
      <c r="C15" s="28" t="s">
        <v>136</v>
      </c>
      <c r="D15" s="30">
        <f>IF(F8=0,0,F8*sumry!H4+sumry!H10)</f>
        <v>0</v>
      </c>
    </row>
    <row r="16" spans="3:17" ht="21" x14ac:dyDescent="0.3">
      <c r="C16" s="28" t="s">
        <v>14</v>
      </c>
      <c r="D16" s="46">
        <f>SUM(D12:D15)</f>
        <v>0</v>
      </c>
    </row>
    <row r="19" spans="3:21" ht="15" thickBot="1" x14ac:dyDescent="0.35"/>
    <row r="20" spans="3:21" ht="30" customHeight="1" thickBot="1" x14ac:dyDescent="0.35">
      <c r="C20" s="424" t="s">
        <v>18</v>
      </c>
      <c r="D20" s="425"/>
      <c r="E20" s="425"/>
      <c r="F20" s="425"/>
      <c r="G20" s="425"/>
      <c r="H20" s="425"/>
      <c r="I20" s="425"/>
      <c r="J20" s="425"/>
      <c r="K20" s="425"/>
      <c r="L20" s="425"/>
      <c r="M20" s="425"/>
      <c r="N20" s="425"/>
      <c r="O20" s="425"/>
      <c r="P20" s="425"/>
      <c r="Q20" s="425"/>
      <c r="R20" s="425"/>
      <c r="S20" s="425"/>
      <c r="T20" s="425"/>
      <c r="U20" s="426"/>
    </row>
    <row r="21" spans="3:21" ht="25.5" customHeight="1" x14ac:dyDescent="0.3">
      <c r="C21" s="427" t="s">
        <v>85</v>
      </c>
      <c r="D21" s="390"/>
      <c r="E21" s="390"/>
      <c r="F21" s="390"/>
      <c r="G21" s="390"/>
      <c r="H21" s="390"/>
      <c r="I21" s="390"/>
      <c r="J21" s="391"/>
      <c r="K21" s="379" t="s">
        <v>86</v>
      </c>
      <c r="L21" s="380"/>
      <c r="M21" s="380"/>
      <c r="N21" s="380"/>
      <c r="O21" s="380"/>
      <c r="P21" s="380"/>
      <c r="Q21" s="380"/>
      <c r="R21" s="380"/>
      <c r="S21" s="380"/>
      <c r="T21" s="380"/>
      <c r="U21" s="381"/>
    </row>
    <row r="22" spans="3:21" ht="18" x14ac:dyDescent="0.3">
      <c r="C22" s="423" t="s">
        <v>1</v>
      </c>
      <c r="D22" s="359"/>
      <c r="E22" s="359"/>
      <c r="F22" s="359" t="s">
        <v>19</v>
      </c>
      <c r="G22" s="359" t="s">
        <v>165</v>
      </c>
      <c r="H22" s="359" t="s">
        <v>21</v>
      </c>
      <c r="I22" s="359" t="s">
        <v>80</v>
      </c>
      <c r="J22" s="392" t="s">
        <v>8</v>
      </c>
      <c r="K22" s="410" t="s">
        <v>166</v>
      </c>
      <c r="L22" s="358" t="s">
        <v>160</v>
      </c>
      <c r="M22" s="358" t="s">
        <v>91</v>
      </c>
      <c r="N22" s="358"/>
      <c r="O22" s="358"/>
      <c r="P22" s="358"/>
      <c r="Q22" s="358" t="s">
        <v>99</v>
      </c>
      <c r="R22" s="358"/>
      <c r="S22" s="358"/>
      <c r="T22" s="358"/>
      <c r="U22" s="98"/>
    </row>
    <row r="23" spans="3:21" ht="47.25" customHeight="1" x14ac:dyDescent="0.3">
      <c r="C23" s="23" t="s">
        <v>2</v>
      </c>
      <c r="D23" s="17" t="s">
        <v>3</v>
      </c>
      <c r="E23" s="17" t="s">
        <v>4</v>
      </c>
      <c r="F23" s="359"/>
      <c r="G23" s="359"/>
      <c r="H23" s="359"/>
      <c r="I23" s="359"/>
      <c r="J23" s="392"/>
      <c r="K23" s="410"/>
      <c r="L23" s="358"/>
      <c r="M23" s="17" t="s">
        <v>167</v>
      </c>
      <c r="N23" s="17" t="s">
        <v>93</v>
      </c>
      <c r="O23" s="17" t="s">
        <v>168</v>
      </c>
      <c r="P23" s="17" t="s">
        <v>95</v>
      </c>
      <c r="Q23" s="17" t="s">
        <v>167</v>
      </c>
      <c r="R23" s="17" t="s">
        <v>93</v>
      </c>
      <c r="S23" s="17" t="s">
        <v>168</v>
      </c>
      <c r="T23" s="17" t="s">
        <v>95</v>
      </c>
      <c r="U23" s="49" t="s">
        <v>169</v>
      </c>
    </row>
    <row r="24" spans="3:21" ht="18.600000000000001" thickBot="1" x14ac:dyDescent="0.35">
      <c r="C24" s="100" t="s">
        <v>33</v>
      </c>
      <c r="D24" s="56" t="s">
        <v>33</v>
      </c>
      <c r="E24" s="56" t="s">
        <v>32</v>
      </c>
      <c r="F24" s="56" t="s">
        <v>34</v>
      </c>
      <c r="G24" s="56" t="s">
        <v>35</v>
      </c>
      <c r="H24" s="56" t="s">
        <v>34</v>
      </c>
      <c r="I24" s="56" t="s">
        <v>36</v>
      </c>
      <c r="J24" s="57" t="s">
        <v>34</v>
      </c>
      <c r="K24" s="428"/>
      <c r="L24" s="56" t="s">
        <v>35</v>
      </c>
      <c r="M24" s="56" t="s">
        <v>35</v>
      </c>
      <c r="N24" s="56" t="s">
        <v>33</v>
      </c>
      <c r="O24" s="56" t="s">
        <v>96</v>
      </c>
      <c r="P24" s="56" t="s">
        <v>170</v>
      </c>
      <c r="Q24" s="56" t="s">
        <v>35</v>
      </c>
      <c r="R24" s="56" t="s">
        <v>33</v>
      </c>
      <c r="S24" s="56" t="s">
        <v>96</v>
      </c>
      <c r="T24" s="56" t="s">
        <v>170</v>
      </c>
      <c r="U24" s="57" t="s">
        <v>36</v>
      </c>
    </row>
    <row r="25" spans="3:21" ht="18" x14ac:dyDescent="0.3">
      <c r="C25" s="101">
        <v>15.2</v>
      </c>
      <c r="D25" s="102">
        <v>12.8</v>
      </c>
      <c r="E25" s="7">
        <v>26</v>
      </c>
      <c r="F25" s="7">
        <f t="shared" ref="F25:F34" si="0">E25*D25*C25/100</f>
        <v>50.585599999999992</v>
      </c>
      <c r="G25" s="7">
        <f>ROUNDUP((F25*0.34)/(0.2*0.4*0.2),0)</f>
        <v>1075</v>
      </c>
      <c r="H25" s="7">
        <f>F25*0.67</f>
        <v>33.892351999999995</v>
      </c>
      <c r="I25" s="7">
        <f>H25*7/20</f>
        <v>11.862323199999999</v>
      </c>
      <c r="J25" s="8">
        <f>H25*1.2</f>
        <v>40.670822399999992</v>
      </c>
      <c r="K25" s="13" t="s">
        <v>171</v>
      </c>
      <c r="L25" s="7">
        <v>1</v>
      </c>
      <c r="M25" s="7">
        <v>21</v>
      </c>
      <c r="N25" s="7">
        <v>18</v>
      </c>
      <c r="O25" s="7">
        <v>6</v>
      </c>
      <c r="P25" s="7">
        <f>ROUNDUP(IF(O25=10,N25*M25*L25*0.62,IF(O25=8,N25*M25*L25*0.4,IF(O25=6,N25*M25*L25*0.22))),0)</f>
        <v>84</v>
      </c>
      <c r="Q25" s="7">
        <v>75</v>
      </c>
      <c r="R25" s="7">
        <v>12</v>
      </c>
      <c r="S25" s="7">
        <v>6</v>
      </c>
      <c r="T25" s="7">
        <f>ROUNDUP(IF(S25=10,R25*L25*Q25*0.62,IF(S25=8,R25*L25*Q25*0.4,IF(S25=6,R25*L25*Q25*0.22))),0)</f>
        <v>198</v>
      </c>
      <c r="U25" s="103">
        <f>(T25+P25)/1000</f>
        <v>0.28199999999999997</v>
      </c>
    </row>
    <row r="26" spans="3:21" ht="18" x14ac:dyDescent="0.3">
      <c r="C26" s="14">
        <v>0</v>
      </c>
      <c r="D26" s="15">
        <v>0</v>
      </c>
      <c r="E26" s="1">
        <v>0</v>
      </c>
      <c r="F26" s="1">
        <f t="shared" si="0"/>
        <v>0</v>
      </c>
      <c r="G26" s="1">
        <f>ROUNDUP((F26*0.34)/(0.2*0.4*0.2),0)</f>
        <v>0</v>
      </c>
      <c r="H26" s="1">
        <f>F26*0.67</f>
        <v>0</v>
      </c>
      <c r="I26" s="1">
        <f>H26*7/20</f>
        <v>0</v>
      </c>
      <c r="J26" s="2">
        <f>H26*1.2</f>
        <v>0</v>
      </c>
      <c r="K26" s="429" t="s">
        <v>172</v>
      </c>
      <c r="L26" s="4">
        <v>6</v>
      </c>
      <c r="M26" s="4">
        <v>3</v>
      </c>
      <c r="N26" s="4">
        <v>22</v>
      </c>
      <c r="O26" s="4">
        <v>12</v>
      </c>
      <c r="P26" s="1">
        <f>ROUNDUP(IF(O26=12,N26*M26*L26*0.89,IF(O26=14,N26*L26*M26*1.2,IF(O26=16,N26*L26*M26*1.59))),0)</f>
        <v>353</v>
      </c>
      <c r="Q26" s="4">
        <f>IF(N26=0,0,ROUNDUP(N26*5+1,0))</f>
        <v>111</v>
      </c>
      <c r="R26" s="4">
        <v>0.65</v>
      </c>
      <c r="S26" s="4">
        <v>6</v>
      </c>
      <c r="T26" s="1">
        <f t="shared" ref="T26:T34" si="1">ROUNDUP(IF(S26=10,R26*L26*Q26*0.62,IF(S26=8,R26*L26*Q26*0.4,IF(S26=6,R26*L26*Q26*0.22))),0)</f>
        <v>96</v>
      </c>
      <c r="U26" s="99">
        <f t="shared" ref="U26:U34" si="2">(T26+P26)/1000</f>
        <v>0.44900000000000001</v>
      </c>
    </row>
    <row r="27" spans="3:21" ht="18" x14ac:dyDescent="0.3">
      <c r="C27" s="14">
        <v>0</v>
      </c>
      <c r="D27" s="15">
        <v>0</v>
      </c>
      <c r="E27" s="1">
        <v>0</v>
      </c>
      <c r="F27" s="1">
        <f t="shared" si="0"/>
        <v>0</v>
      </c>
      <c r="G27" s="1">
        <f t="shared" ref="G27:G34" si="3">ROUNDUP((F27*0.34)/(0.2*0.4*0.2),0)</f>
        <v>0</v>
      </c>
      <c r="H27" s="1">
        <f>F27*0.67</f>
        <v>0</v>
      </c>
      <c r="I27" s="1">
        <f>H27*7/20</f>
        <v>0</v>
      </c>
      <c r="J27" s="2">
        <f>H27*1.2</f>
        <v>0</v>
      </c>
      <c r="K27" s="429"/>
      <c r="L27" s="4">
        <v>12</v>
      </c>
      <c r="M27" s="4">
        <v>3</v>
      </c>
      <c r="N27" s="4">
        <v>12</v>
      </c>
      <c r="O27" s="4">
        <v>12</v>
      </c>
      <c r="P27" s="1">
        <f t="shared" ref="P27:P34" si="4">ROUNDUP(IF(O27=12,N27*M27*L27*0.89,IF(O27=14,N27*L27*M27*1.2,IF(O27=16,N27*L27*M27*1.59))),0)</f>
        <v>385</v>
      </c>
      <c r="Q27" s="4">
        <f>IF(N27=0,0,ROUNDUP(N27*5+1,0))</f>
        <v>61</v>
      </c>
      <c r="R27" s="4">
        <v>0.65</v>
      </c>
      <c r="S27" s="4">
        <v>6</v>
      </c>
      <c r="T27" s="1">
        <f t="shared" si="1"/>
        <v>105</v>
      </c>
      <c r="U27" s="99">
        <f t="shared" si="2"/>
        <v>0.49</v>
      </c>
    </row>
    <row r="28" spans="3:21" ht="18" x14ac:dyDescent="0.3">
      <c r="C28" s="14">
        <v>0</v>
      </c>
      <c r="D28" s="15">
        <v>0</v>
      </c>
      <c r="E28" s="1">
        <v>0</v>
      </c>
      <c r="F28" s="1">
        <f t="shared" si="0"/>
        <v>0</v>
      </c>
      <c r="G28" s="1">
        <f t="shared" si="3"/>
        <v>0</v>
      </c>
      <c r="H28" s="1">
        <f>F28*0.67</f>
        <v>0</v>
      </c>
      <c r="I28" s="1">
        <f>H28*7/20</f>
        <v>0</v>
      </c>
      <c r="J28" s="2">
        <f>H28*1.2</f>
        <v>0</v>
      </c>
      <c r="K28" s="429"/>
      <c r="L28" s="4">
        <v>1</v>
      </c>
      <c r="M28" s="4">
        <v>4</v>
      </c>
      <c r="N28" s="4">
        <v>34</v>
      </c>
      <c r="O28" s="4">
        <v>12</v>
      </c>
      <c r="P28" s="1">
        <f t="shared" si="4"/>
        <v>122</v>
      </c>
      <c r="Q28" s="4">
        <f t="shared" ref="Q28:Q34" si="5">IF(N28=0,0,ROUNDUP(N28*5+1,0))</f>
        <v>171</v>
      </c>
      <c r="R28" s="4">
        <v>0.75</v>
      </c>
      <c r="S28" s="4">
        <v>6</v>
      </c>
      <c r="T28" s="1">
        <f t="shared" si="1"/>
        <v>29</v>
      </c>
      <c r="U28" s="99">
        <f t="shared" si="2"/>
        <v>0.151</v>
      </c>
    </row>
    <row r="29" spans="3:21" ht="18.75" customHeight="1" x14ac:dyDescent="0.3">
      <c r="C29" s="14">
        <v>0</v>
      </c>
      <c r="D29" s="15">
        <v>0</v>
      </c>
      <c r="E29" s="1">
        <v>0</v>
      </c>
      <c r="F29" s="1">
        <f t="shared" si="0"/>
        <v>0</v>
      </c>
      <c r="G29" s="1">
        <f t="shared" si="3"/>
        <v>0</v>
      </c>
      <c r="H29" s="1">
        <f t="shared" ref="H29:H34" si="6">F29*0.67</f>
        <v>0</v>
      </c>
      <c r="I29" s="1">
        <f t="shared" ref="I29:I34" si="7">H29*7/20</f>
        <v>0</v>
      </c>
      <c r="J29" s="2">
        <f t="shared" ref="J29:J34" si="8">H29*1.2</f>
        <v>0</v>
      </c>
      <c r="K29" s="429" t="s">
        <v>173</v>
      </c>
      <c r="L29" s="4">
        <v>2</v>
      </c>
      <c r="M29" s="4">
        <v>6</v>
      </c>
      <c r="N29" s="4">
        <v>16</v>
      </c>
      <c r="O29" s="4">
        <v>12</v>
      </c>
      <c r="P29" s="1">
        <f t="shared" si="4"/>
        <v>171</v>
      </c>
      <c r="Q29" s="4">
        <f t="shared" si="5"/>
        <v>81</v>
      </c>
      <c r="R29" s="4">
        <v>1.3</v>
      </c>
      <c r="S29" s="4">
        <v>8</v>
      </c>
      <c r="T29" s="1">
        <f t="shared" si="1"/>
        <v>85</v>
      </c>
      <c r="U29" s="99">
        <f t="shared" si="2"/>
        <v>0.25600000000000001</v>
      </c>
    </row>
    <row r="30" spans="3:21" ht="18" x14ac:dyDescent="0.3">
      <c r="C30" s="14">
        <v>0</v>
      </c>
      <c r="D30" s="15">
        <v>0</v>
      </c>
      <c r="E30" s="1">
        <v>0</v>
      </c>
      <c r="F30" s="1">
        <f t="shared" si="0"/>
        <v>0</v>
      </c>
      <c r="G30" s="1">
        <f t="shared" si="3"/>
        <v>0</v>
      </c>
      <c r="H30" s="1">
        <f t="shared" si="6"/>
        <v>0</v>
      </c>
      <c r="I30" s="1">
        <f t="shared" si="7"/>
        <v>0</v>
      </c>
      <c r="J30" s="2">
        <f t="shared" si="8"/>
        <v>0</v>
      </c>
      <c r="K30" s="429"/>
      <c r="L30" s="4">
        <v>1</v>
      </c>
      <c r="M30" s="4">
        <v>6</v>
      </c>
      <c r="N30" s="4">
        <v>12</v>
      </c>
      <c r="O30" s="4">
        <v>12</v>
      </c>
      <c r="P30" s="1">
        <f t="shared" si="4"/>
        <v>65</v>
      </c>
      <c r="Q30" s="4">
        <f t="shared" si="5"/>
        <v>61</v>
      </c>
      <c r="R30" s="4">
        <v>1.3</v>
      </c>
      <c r="S30" s="4">
        <v>8</v>
      </c>
      <c r="T30" s="1">
        <f t="shared" si="1"/>
        <v>32</v>
      </c>
      <c r="U30" s="99">
        <f t="shared" si="2"/>
        <v>9.7000000000000003E-2</v>
      </c>
    </row>
    <row r="31" spans="3:21" ht="18" x14ac:dyDescent="0.3">
      <c r="C31" s="14">
        <v>0</v>
      </c>
      <c r="D31" s="15">
        <v>0</v>
      </c>
      <c r="E31" s="1">
        <v>0</v>
      </c>
      <c r="F31" s="1">
        <f t="shared" si="0"/>
        <v>0</v>
      </c>
      <c r="G31" s="1">
        <f t="shared" si="3"/>
        <v>0</v>
      </c>
      <c r="H31" s="1">
        <f t="shared" si="6"/>
        <v>0</v>
      </c>
      <c r="I31" s="1">
        <f t="shared" si="7"/>
        <v>0</v>
      </c>
      <c r="J31" s="2">
        <f t="shared" si="8"/>
        <v>0</v>
      </c>
      <c r="K31" s="429"/>
      <c r="L31" s="4">
        <v>3</v>
      </c>
      <c r="M31" s="4">
        <v>6</v>
      </c>
      <c r="N31" s="4">
        <v>6</v>
      </c>
      <c r="O31" s="4">
        <v>12</v>
      </c>
      <c r="P31" s="1">
        <f t="shared" si="4"/>
        <v>97</v>
      </c>
      <c r="Q31" s="4">
        <f t="shared" si="5"/>
        <v>31</v>
      </c>
      <c r="R31" s="4">
        <v>1.3</v>
      </c>
      <c r="S31" s="4">
        <v>8</v>
      </c>
      <c r="T31" s="1">
        <f t="shared" si="1"/>
        <v>49</v>
      </c>
      <c r="U31" s="99">
        <f t="shared" si="2"/>
        <v>0.14599999999999999</v>
      </c>
    </row>
    <row r="32" spans="3:21" ht="18" x14ac:dyDescent="0.3">
      <c r="C32" s="14">
        <v>0</v>
      </c>
      <c r="D32" s="15">
        <v>0</v>
      </c>
      <c r="E32" s="1">
        <v>0</v>
      </c>
      <c r="F32" s="1">
        <f t="shared" si="0"/>
        <v>0</v>
      </c>
      <c r="G32" s="1">
        <f t="shared" si="3"/>
        <v>0</v>
      </c>
      <c r="H32" s="1">
        <f t="shared" si="6"/>
        <v>0</v>
      </c>
      <c r="I32" s="1">
        <f t="shared" si="7"/>
        <v>0</v>
      </c>
      <c r="J32" s="2">
        <f t="shared" si="8"/>
        <v>0</v>
      </c>
      <c r="K32" s="429" t="s">
        <v>174</v>
      </c>
      <c r="L32" s="4">
        <v>3</v>
      </c>
      <c r="M32" s="4">
        <v>12</v>
      </c>
      <c r="N32" s="4">
        <v>14</v>
      </c>
      <c r="O32" s="4">
        <v>12</v>
      </c>
      <c r="P32" s="1">
        <f t="shared" si="4"/>
        <v>449</v>
      </c>
      <c r="Q32" s="4">
        <f t="shared" si="5"/>
        <v>71</v>
      </c>
      <c r="R32" s="4">
        <v>3</v>
      </c>
      <c r="S32" s="4">
        <v>8</v>
      </c>
      <c r="T32" s="1">
        <f t="shared" si="1"/>
        <v>256</v>
      </c>
      <c r="U32" s="99">
        <f t="shared" si="2"/>
        <v>0.70499999999999996</v>
      </c>
    </row>
    <row r="33" spans="3:21" ht="18" x14ac:dyDescent="0.3">
      <c r="C33" s="14">
        <v>0</v>
      </c>
      <c r="D33" s="15">
        <v>0</v>
      </c>
      <c r="E33" s="1">
        <v>0</v>
      </c>
      <c r="F33" s="1">
        <f t="shared" si="0"/>
        <v>0</v>
      </c>
      <c r="G33" s="1">
        <f t="shared" si="3"/>
        <v>0</v>
      </c>
      <c r="H33" s="1">
        <f t="shared" si="6"/>
        <v>0</v>
      </c>
      <c r="I33" s="1">
        <f t="shared" si="7"/>
        <v>0</v>
      </c>
      <c r="J33" s="2">
        <f t="shared" si="8"/>
        <v>0</v>
      </c>
      <c r="K33" s="429"/>
      <c r="L33" s="4">
        <v>1</v>
      </c>
      <c r="M33" s="4">
        <v>12</v>
      </c>
      <c r="N33" s="4">
        <v>7</v>
      </c>
      <c r="O33" s="4">
        <v>12</v>
      </c>
      <c r="P33" s="1">
        <f t="shared" si="4"/>
        <v>75</v>
      </c>
      <c r="Q33" s="4">
        <f t="shared" si="5"/>
        <v>36</v>
      </c>
      <c r="R33" s="4">
        <v>3</v>
      </c>
      <c r="S33" s="4">
        <v>8</v>
      </c>
      <c r="T33" s="1">
        <f t="shared" si="1"/>
        <v>44</v>
      </c>
      <c r="U33" s="99">
        <f t="shared" si="2"/>
        <v>0.11899999999999999</v>
      </c>
    </row>
    <row r="34" spans="3:21" ht="18" x14ac:dyDescent="0.3">
      <c r="C34" s="14">
        <v>0</v>
      </c>
      <c r="D34" s="15">
        <v>0</v>
      </c>
      <c r="E34" s="1">
        <v>0</v>
      </c>
      <c r="F34" s="1">
        <f t="shared" si="0"/>
        <v>0</v>
      </c>
      <c r="G34" s="1">
        <f t="shared" si="3"/>
        <v>0</v>
      </c>
      <c r="H34" s="1">
        <f t="shared" si="6"/>
        <v>0</v>
      </c>
      <c r="I34" s="1">
        <f t="shared" si="7"/>
        <v>0</v>
      </c>
      <c r="J34" s="2">
        <f t="shared" si="8"/>
        <v>0</v>
      </c>
      <c r="K34" s="429"/>
      <c r="L34" s="4">
        <v>1</v>
      </c>
      <c r="M34" s="4">
        <v>12</v>
      </c>
      <c r="N34" s="4">
        <v>6</v>
      </c>
      <c r="O34" s="4">
        <v>12</v>
      </c>
      <c r="P34" s="1">
        <f t="shared" si="4"/>
        <v>65</v>
      </c>
      <c r="Q34" s="4">
        <f t="shared" si="5"/>
        <v>31</v>
      </c>
      <c r="R34" s="4">
        <v>3</v>
      </c>
      <c r="S34" s="4">
        <v>8</v>
      </c>
      <c r="T34" s="1">
        <f t="shared" si="1"/>
        <v>38</v>
      </c>
      <c r="U34" s="99">
        <f t="shared" si="2"/>
        <v>0.10299999999999999</v>
      </c>
    </row>
    <row r="35" spans="3:21" ht="21.6" thickBot="1" x14ac:dyDescent="0.35">
      <c r="C35" s="430" t="s">
        <v>14</v>
      </c>
      <c r="D35" s="431"/>
      <c r="E35" s="432"/>
      <c r="F35" s="104">
        <f>SUM(F25:F34)</f>
        <v>50.585599999999992</v>
      </c>
      <c r="G35" s="105">
        <f>SUM(G25:G34)</f>
        <v>1075</v>
      </c>
      <c r="H35" s="105">
        <f>SUM(H25:H34)</f>
        <v>33.892351999999995</v>
      </c>
      <c r="I35" s="105">
        <f>SUM(I25:I34)</f>
        <v>11.862323199999999</v>
      </c>
      <c r="J35" s="106">
        <f>SUM(J25:J34)</f>
        <v>40.670822399999992</v>
      </c>
      <c r="K35" s="20" t="s">
        <v>175</v>
      </c>
      <c r="L35" s="105">
        <f>SUMIF(O26:O34,"14",P26:P34)/1000</f>
        <v>0</v>
      </c>
      <c r="M35" s="21" t="s">
        <v>148</v>
      </c>
      <c r="N35" s="21">
        <f>SUMIF(O26:O34,"12",P26:P34)/1000</f>
        <v>1.782</v>
      </c>
      <c r="O35" s="21" t="s">
        <v>176</v>
      </c>
      <c r="P35" s="107">
        <f>(SUMIF($O$25,"10",$P$25)+SUMIF($S$25:$S$34,"10",$T$25:$T$34))/1000</f>
        <v>0</v>
      </c>
      <c r="Q35" s="21" t="s">
        <v>150</v>
      </c>
      <c r="R35" s="107">
        <f>(SUMIF($O$25,"8",$P$25)+SUMIF($S$25:$S$34,"8",$T$25:$T$34))/1000</f>
        <v>0.504</v>
      </c>
      <c r="S35" s="21" t="s">
        <v>151</v>
      </c>
      <c r="T35" s="107">
        <f>(SUMIF($O$25,"6",$P$25)+SUMIF($S$25:$S$34,"6",$T$25:$T$34))/1000</f>
        <v>0.51200000000000001</v>
      </c>
      <c r="U35" s="108">
        <f>SUM(U25:U34)</f>
        <v>2.7980000000000005</v>
      </c>
    </row>
    <row r="38" spans="3:21" ht="18" x14ac:dyDescent="0.3">
      <c r="C38" s="368" t="s">
        <v>100</v>
      </c>
      <c r="D38" s="369"/>
    </row>
    <row r="39" spans="3:21" ht="18" x14ac:dyDescent="0.3">
      <c r="C39" s="28" t="s">
        <v>76</v>
      </c>
      <c r="D39" s="30">
        <f>I35*sumry!E7</f>
        <v>1542.1020159999998</v>
      </c>
    </row>
    <row r="40" spans="3:21" ht="18" x14ac:dyDescent="0.3">
      <c r="C40" s="28" t="s">
        <v>135</v>
      </c>
      <c r="D40" s="30">
        <f>J35*sumry!E8</f>
        <v>546.83458689075621</v>
      </c>
    </row>
    <row r="41" spans="3:21" ht="18" x14ac:dyDescent="0.3">
      <c r="C41" s="28" t="s">
        <v>77</v>
      </c>
      <c r="D41" s="30">
        <f>Slaps!L35*sumry!E4+Slaps!N35*sumry!E4+Slaps!P35*sumry!E5+Slaps!R35*sumry!E5+Slaps!T35*sumry!E6</f>
        <v>1855.63</v>
      </c>
    </row>
    <row r="42" spans="3:21" ht="18" x14ac:dyDescent="0.3">
      <c r="C42" s="28" t="s">
        <v>177</v>
      </c>
      <c r="D42" s="30">
        <f>G35*sumry!E9</f>
        <v>496.84873949579833</v>
      </c>
    </row>
    <row r="43" spans="3:21" ht="18" x14ac:dyDescent="0.3">
      <c r="C43" s="28" t="s">
        <v>136</v>
      </c>
      <c r="D43" s="30">
        <f>IF(H35=0,0,H35*sumry!H4+sumry!H10)</f>
        <v>594.57710252100833</v>
      </c>
    </row>
    <row r="44" spans="3:21" ht="21" x14ac:dyDescent="0.3">
      <c r="C44" s="28" t="s">
        <v>14</v>
      </c>
      <c r="D44" s="46">
        <f>SUM(D39:D43)</f>
        <v>5035.9924449075625</v>
      </c>
    </row>
  </sheetData>
  <mergeCells count="31">
    <mergeCell ref="K26:K28"/>
    <mergeCell ref="K29:K31"/>
    <mergeCell ref="K32:K34"/>
    <mergeCell ref="C35:E35"/>
    <mergeCell ref="C38:D38"/>
    <mergeCell ref="C20:U20"/>
    <mergeCell ref="C21:J21"/>
    <mergeCell ref="K21:U21"/>
    <mergeCell ref="C22:E22"/>
    <mergeCell ref="F22:F23"/>
    <mergeCell ref="G22:G23"/>
    <mergeCell ref="H22:H23"/>
    <mergeCell ref="I22:I23"/>
    <mergeCell ref="J22:J23"/>
    <mergeCell ref="K22:K24"/>
    <mergeCell ref="L22:L23"/>
    <mergeCell ref="M22:P22"/>
    <mergeCell ref="Q22:T22"/>
    <mergeCell ref="C3:Q3"/>
    <mergeCell ref="C11:D11"/>
    <mergeCell ref="C9:F9"/>
    <mergeCell ref="C4:H4"/>
    <mergeCell ref="I4:Q4"/>
    <mergeCell ref="I5:L5"/>
    <mergeCell ref="M5:P5"/>
    <mergeCell ref="Q5:Q6"/>
    <mergeCell ref="Q8:Q9"/>
    <mergeCell ref="C5:E5"/>
    <mergeCell ref="F5:F6"/>
    <mergeCell ref="G5:G6"/>
    <mergeCell ref="H5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BEFF-AC93-4BF0-B227-400F4EC56D62}">
  <dimension ref="C2:Q24"/>
  <sheetViews>
    <sheetView rightToLeft="1" zoomScale="70" zoomScaleNormal="70" workbookViewId="0">
      <selection activeCell="F7" sqref="F7"/>
    </sheetView>
  </sheetViews>
  <sheetFormatPr defaultRowHeight="14.4" x14ac:dyDescent="0.3"/>
  <cols>
    <col min="3" max="3" width="14.6640625" customWidth="1"/>
    <col min="4" max="13" width="12" customWidth="1"/>
    <col min="14" max="14" width="15.88671875" customWidth="1"/>
    <col min="17" max="17" width="9.109375" hidden="1" customWidth="1"/>
  </cols>
  <sheetData>
    <row r="2" spans="3:17" ht="15" thickBot="1" x14ac:dyDescent="0.35"/>
    <row r="3" spans="3:17" ht="17.399999999999999" x14ac:dyDescent="0.3">
      <c r="C3" s="436" t="s">
        <v>44</v>
      </c>
      <c r="D3" s="437"/>
      <c r="E3" s="437"/>
      <c r="F3" s="437"/>
      <c r="G3" s="437"/>
      <c r="H3" s="437"/>
      <c r="I3" s="437"/>
      <c r="J3" s="437"/>
      <c r="K3" s="437"/>
      <c r="L3" s="437"/>
      <c r="M3" s="437"/>
      <c r="N3" s="438"/>
    </row>
    <row r="4" spans="3:17" ht="17.399999999999999" x14ac:dyDescent="0.3">
      <c r="C4" s="433" t="s">
        <v>85</v>
      </c>
      <c r="D4" s="434"/>
      <c r="E4" s="434"/>
      <c r="F4" s="434"/>
      <c r="G4" s="434"/>
      <c r="H4" s="434"/>
      <c r="I4" s="434"/>
      <c r="J4" s="434"/>
      <c r="K4" s="434"/>
      <c r="L4" s="434"/>
      <c r="M4" s="434"/>
      <c r="N4" s="435"/>
    </row>
    <row r="5" spans="3:17" ht="54.6" thickBot="1" x14ac:dyDescent="0.35">
      <c r="C5" s="439" t="s">
        <v>45</v>
      </c>
      <c r="D5" s="440"/>
      <c r="E5" s="440" t="s">
        <v>49</v>
      </c>
      <c r="F5" s="440"/>
      <c r="G5" s="440" t="s">
        <v>152</v>
      </c>
      <c r="H5" s="440"/>
      <c r="I5" s="440" t="s">
        <v>153</v>
      </c>
      <c r="J5" s="440"/>
      <c r="K5" s="90" t="s">
        <v>53</v>
      </c>
      <c r="L5" s="19" t="s">
        <v>80</v>
      </c>
      <c r="M5" s="90" t="s">
        <v>54</v>
      </c>
      <c r="N5" s="91" t="s">
        <v>58</v>
      </c>
      <c r="Q5">
        <f>IF(F7=0,0,(J6+H6)*100/F7+1)</f>
        <v>21</v>
      </c>
    </row>
    <row r="6" spans="3:17" ht="17.399999999999999" x14ac:dyDescent="0.3">
      <c r="C6" s="47" t="s">
        <v>154</v>
      </c>
      <c r="D6" s="10">
        <v>2.5</v>
      </c>
      <c r="E6" s="10" t="s">
        <v>157</v>
      </c>
      <c r="F6" s="10">
        <v>16</v>
      </c>
      <c r="G6" s="10" t="s">
        <v>154</v>
      </c>
      <c r="H6" s="10">
        <v>3</v>
      </c>
      <c r="I6" s="10" t="s">
        <v>154</v>
      </c>
      <c r="J6" s="10">
        <v>3</v>
      </c>
      <c r="K6" s="441">
        <f>Q16+Q15+Q13</f>
        <v>2.3904000000000001</v>
      </c>
      <c r="L6" s="441">
        <f>K6*7/20</f>
        <v>0.83664000000000005</v>
      </c>
      <c r="M6" s="441">
        <f>K6*1.2</f>
        <v>2.8684799999999999</v>
      </c>
      <c r="N6" s="443">
        <v>1</v>
      </c>
      <c r="Q6">
        <f>F6*F6+F7*F7</f>
        <v>1156</v>
      </c>
    </row>
    <row r="7" spans="3:17" ht="17.399999999999999" x14ac:dyDescent="0.3">
      <c r="C7" s="11" t="s">
        <v>155</v>
      </c>
      <c r="D7" s="12">
        <v>1.2</v>
      </c>
      <c r="E7" s="12" t="s">
        <v>158</v>
      </c>
      <c r="F7" s="12">
        <v>30</v>
      </c>
      <c r="G7" s="12" t="s">
        <v>155</v>
      </c>
      <c r="H7" s="12">
        <v>1.2</v>
      </c>
      <c r="I7" s="12" t="s">
        <v>155</v>
      </c>
      <c r="J7" s="12">
        <v>1.2</v>
      </c>
      <c r="K7" s="442"/>
      <c r="L7" s="442"/>
      <c r="M7" s="442"/>
      <c r="N7" s="444"/>
      <c r="Q7">
        <f>SQRT(Q6)</f>
        <v>34</v>
      </c>
    </row>
    <row r="8" spans="3:17" ht="34.799999999999997" x14ac:dyDescent="0.3">
      <c r="C8" s="11" t="s">
        <v>156</v>
      </c>
      <c r="D8" s="12">
        <v>16</v>
      </c>
      <c r="E8" s="86" t="s">
        <v>55</v>
      </c>
      <c r="F8" s="86">
        <f>Q5</f>
        <v>21</v>
      </c>
      <c r="G8" s="12" t="s">
        <v>156</v>
      </c>
      <c r="H8" s="12">
        <v>16</v>
      </c>
      <c r="I8" s="12" t="s">
        <v>156</v>
      </c>
      <c r="J8" s="12">
        <v>16</v>
      </c>
      <c r="K8" s="442"/>
      <c r="L8" s="442"/>
      <c r="M8" s="442"/>
      <c r="N8" s="444"/>
      <c r="Q8">
        <f>IF(F7=0,0,Q7/F7)</f>
        <v>1.1333333333333333</v>
      </c>
    </row>
    <row r="9" spans="3:17" ht="21.6" thickBot="1" x14ac:dyDescent="0.35">
      <c r="C9" s="446" t="s">
        <v>14</v>
      </c>
      <c r="D9" s="447"/>
      <c r="E9" s="447"/>
      <c r="F9" s="447"/>
      <c r="G9" s="447"/>
      <c r="H9" s="447"/>
      <c r="I9" s="87"/>
      <c r="J9" s="87"/>
      <c r="K9" s="88"/>
      <c r="L9" s="95">
        <f>L6*N6</f>
        <v>0.83664000000000005</v>
      </c>
      <c r="M9" s="95">
        <f>M6*N6</f>
        <v>2.8684799999999999</v>
      </c>
      <c r="N9" s="445"/>
      <c r="Q9">
        <f>Q8*H6</f>
        <v>3.4</v>
      </c>
    </row>
    <row r="10" spans="3:17" ht="11.25" customHeight="1" thickBot="1" x14ac:dyDescent="0.35">
      <c r="C10" s="96"/>
      <c r="D10" s="82"/>
      <c r="E10" s="82"/>
      <c r="F10" s="82"/>
      <c r="G10" s="82"/>
      <c r="H10" s="82"/>
      <c r="I10" s="82"/>
      <c r="J10" s="82"/>
      <c r="K10" s="83"/>
      <c r="L10" s="84"/>
      <c r="M10" s="84"/>
      <c r="N10" s="97"/>
    </row>
    <row r="11" spans="3:17" ht="17.399999999999999" x14ac:dyDescent="0.3">
      <c r="C11" s="436" t="s">
        <v>86</v>
      </c>
      <c r="D11" s="437"/>
      <c r="E11" s="437"/>
      <c r="F11" s="437"/>
      <c r="G11" s="437"/>
      <c r="H11" s="437"/>
      <c r="I11" s="437"/>
      <c r="J11" s="437"/>
      <c r="K11" s="437"/>
      <c r="L11" s="437"/>
      <c r="M11" s="437"/>
      <c r="N11" s="438"/>
      <c r="Q11">
        <f>Q8*J6</f>
        <v>3.4</v>
      </c>
    </row>
    <row r="12" spans="3:17" ht="16.5" customHeight="1" x14ac:dyDescent="0.3">
      <c r="C12" s="433" t="s">
        <v>159</v>
      </c>
      <c r="D12" s="434"/>
      <c r="E12" s="434"/>
      <c r="F12" s="434"/>
      <c r="G12" s="434" t="s">
        <v>161</v>
      </c>
      <c r="H12" s="434"/>
      <c r="I12" s="434"/>
      <c r="J12" s="434"/>
      <c r="K12" s="434" t="s">
        <v>162</v>
      </c>
      <c r="L12" s="434"/>
      <c r="M12" s="434"/>
      <c r="N12" s="435"/>
    </row>
    <row r="13" spans="3:17" ht="18.600000000000001" thickBot="1" x14ac:dyDescent="0.35">
      <c r="C13" s="89" t="s">
        <v>160</v>
      </c>
      <c r="D13" s="93" t="s">
        <v>94</v>
      </c>
      <c r="E13" s="93" t="s">
        <v>2</v>
      </c>
      <c r="F13" s="93" t="s">
        <v>95</v>
      </c>
      <c r="G13" s="90" t="s">
        <v>160</v>
      </c>
      <c r="H13" s="93" t="s">
        <v>94</v>
      </c>
      <c r="I13" s="93" t="s">
        <v>2</v>
      </c>
      <c r="J13" s="93" t="s">
        <v>95</v>
      </c>
      <c r="K13" s="90" t="s">
        <v>160</v>
      </c>
      <c r="L13" s="93" t="s">
        <v>94</v>
      </c>
      <c r="M13" s="93" t="s">
        <v>2</v>
      </c>
      <c r="N13" s="94" t="s">
        <v>95</v>
      </c>
      <c r="Q13">
        <f>D6*D7*D8/100</f>
        <v>0.48</v>
      </c>
    </row>
    <row r="14" spans="3:17" ht="18" x14ac:dyDescent="0.3">
      <c r="C14" s="384">
        <v>10</v>
      </c>
      <c r="D14" s="459">
        <v>0</v>
      </c>
      <c r="E14" s="448">
        <v>0</v>
      </c>
      <c r="F14" s="448">
        <f>E14*C14*0.89</f>
        <v>0</v>
      </c>
      <c r="G14" s="53">
        <f>C14</f>
        <v>10</v>
      </c>
      <c r="H14" s="53">
        <v>12</v>
      </c>
      <c r="I14" s="92">
        <f>Q9+Q11+D7+D7+D7</f>
        <v>10.399999999999999</v>
      </c>
      <c r="J14" s="92">
        <f>I14*G14*0.89</f>
        <v>92.559999999999988</v>
      </c>
      <c r="K14" s="459">
        <f>ROUNDUP(D7*5,0)</f>
        <v>6</v>
      </c>
      <c r="L14" s="459">
        <v>12</v>
      </c>
      <c r="M14" s="448">
        <f>D6</f>
        <v>2.5</v>
      </c>
      <c r="N14" s="450">
        <f>M14*K14*0.89</f>
        <v>13.35</v>
      </c>
      <c r="Q14">
        <f>F6*F7*H7/2/10000</f>
        <v>2.8799999999999999E-2</v>
      </c>
    </row>
    <row r="15" spans="3:17" ht="18" x14ac:dyDescent="0.3">
      <c r="C15" s="385"/>
      <c r="D15" s="460"/>
      <c r="E15" s="449"/>
      <c r="F15" s="449"/>
      <c r="G15" s="28">
        <f>F8</f>
        <v>21</v>
      </c>
      <c r="H15" s="28">
        <v>12</v>
      </c>
      <c r="I15" s="28">
        <f>H7</f>
        <v>1.2</v>
      </c>
      <c r="J15" s="85">
        <f>I15*G15*0.89</f>
        <v>22.428000000000001</v>
      </c>
      <c r="K15" s="460"/>
      <c r="L15" s="460"/>
      <c r="M15" s="449"/>
      <c r="N15" s="451"/>
      <c r="Q15">
        <f>Q14*F8</f>
        <v>0.6048</v>
      </c>
    </row>
    <row r="16" spans="3:17" ht="21.6" thickBot="1" x14ac:dyDescent="0.45">
      <c r="C16" s="452" t="s">
        <v>164</v>
      </c>
      <c r="D16" s="453"/>
      <c r="E16" s="453"/>
      <c r="F16" s="454"/>
      <c r="G16" s="455">
        <f>(N14+J15+J14+F14)/1000</f>
        <v>0.12833800000000001</v>
      </c>
      <c r="H16" s="456"/>
      <c r="I16" s="457" t="s">
        <v>163</v>
      </c>
      <c r="J16" s="453"/>
      <c r="K16" s="453"/>
      <c r="L16" s="454"/>
      <c r="M16" s="455">
        <f>(N14+J15+J14+F14)/1000*N6</f>
        <v>0.12833800000000001</v>
      </c>
      <c r="N16" s="458"/>
      <c r="Q16">
        <f>(Q9+Q11)*H7*H8/100</f>
        <v>1.3056000000000001</v>
      </c>
    </row>
    <row r="19" spans="3:4" ht="18" x14ac:dyDescent="0.3">
      <c r="C19" s="368" t="s">
        <v>100</v>
      </c>
      <c r="D19" s="369"/>
    </row>
    <row r="20" spans="3:4" ht="18" x14ac:dyDescent="0.3">
      <c r="C20" s="28" t="s">
        <v>76</v>
      </c>
      <c r="D20" s="30">
        <f>L9*sumry!E7</f>
        <v>108.76320000000001</v>
      </c>
    </row>
    <row r="21" spans="3:4" ht="18" x14ac:dyDescent="0.3">
      <c r="C21" s="28" t="s">
        <v>135</v>
      </c>
      <c r="D21" s="30">
        <f>M9*sumry!E8</f>
        <v>38.567798319327729</v>
      </c>
    </row>
    <row r="22" spans="3:4" ht="18" x14ac:dyDescent="0.3">
      <c r="C22" s="28" t="s">
        <v>77</v>
      </c>
      <c r="D22" s="30">
        <f>M16*sumry!E4</f>
        <v>82.778010000000009</v>
      </c>
    </row>
    <row r="23" spans="3:4" ht="18" x14ac:dyDescent="0.3">
      <c r="C23" s="28" t="s">
        <v>136</v>
      </c>
      <c r="D23" s="30">
        <f>IF(M16=0,0,N6*(sumry!H7+50))</f>
        <v>218.0672268907563</v>
      </c>
    </row>
    <row r="24" spans="3:4" ht="21" x14ac:dyDescent="0.3">
      <c r="C24" s="28" t="s">
        <v>14</v>
      </c>
      <c r="D24" s="46">
        <f>SUM(D20:D23)</f>
        <v>448.17623521008409</v>
      </c>
    </row>
  </sheetData>
  <mergeCells count="28">
    <mergeCell ref="C19:D19"/>
    <mergeCell ref="M14:M15"/>
    <mergeCell ref="N14:N15"/>
    <mergeCell ref="C16:F16"/>
    <mergeCell ref="G16:H16"/>
    <mergeCell ref="I16:L16"/>
    <mergeCell ref="M16:N16"/>
    <mergeCell ref="C14:C15"/>
    <mergeCell ref="D14:D15"/>
    <mergeCell ref="E14:E15"/>
    <mergeCell ref="F14:F15"/>
    <mergeCell ref="K14:K15"/>
    <mergeCell ref="L14:L15"/>
    <mergeCell ref="C12:F12"/>
    <mergeCell ref="G12:J12"/>
    <mergeCell ref="K12:N12"/>
    <mergeCell ref="C11:N11"/>
    <mergeCell ref="C3:N3"/>
    <mergeCell ref="C5:D5"/>
    <mergeCell ref="E5:F5"/>
    <mergeCell ref="G5:H5"/>
    <mergeCell ref="K6:K8"/>
    <mergeCell ref="L6:L8"/>
    <mergeCell ref="M6:M8"/>
    <mergeCell ref="I5:J5"/>
    <mergeCell ref="C4:N4"/>
    <mergeCell ref="N6:N9"/>
    <mergeCell ref="C9:H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43F0-1563-4FBC-953B-6D5EF39DC8A8}">
  <dimension ref="C2:Q29"/>
  <sheetViews>
    <sheetView rightToLeft="1" zoomScale="70" zoomScaleNormal="70" workbookViewId="0">
      <selection activeCell="L7" sqref="L7"/>
    </sheetView>
  </sheetViews>
  <sheetFormatPr defaultRowHeight="15.6" x14ac:dyDescent="0.3"/>
  <cols>
    <col min="3" max="9" width="13" style="111" customWidth="1"/>
    <col min="10" max="11" width="11.21875" style="111" customWidth="1"/>
    <col min="12" max="13" width="10" style="111" customWidth="1"/>
    <col min="14" max="15" width="13" style="111" customWidth="1"/>
  </cols>
  <sheetData>
    <row r="2" spans="3:17" ht="16.2" thickBot="1" x14ac:dyDescent="0.35"/>
    <row r="3" spans="3:17" ht="30" customHeight="1" x14ac:dyDescent="0.3">
      <c r="C3" s="469" t="s">
        <v>22</v>
      </c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  <c r="O3" s="471"/>
    </row>
    <row r="4" spans="3:17" ht="15.75" customHeight="1" x14ac:dyDescent="0.3">
      <c r="C4" s="473" t="s">
        <v>65</v>
      </c>
      <c r="D4" s="476" t="s">
        <v>179</v>
      </c>
      <c r="E4" s="466" t="s">
        <v>185</v>
      </c>
      <c r="F4" s="466" t="s">
        <v>24</v>
      </c>
      <c r="G4" s="466" t="s">
        <v>186</v>
      </c>
      <c r="H4" s="466" t="s">
        <v>28</v>
      </c>
      <c r="I4" s="466" t="s">
        <v>29</v>
      </c>
      <c r="J4" s="466" t="s">
        <v>27</v>
      </c>
      <c r="K4" s="466"/>
      <c r="L4" s="466" t="s">
        <v>26</v>
      </c>
      <c r="M4" s="466"/>
      <c r="N4" s="466" t="s">
        <v>80</v>
      </c>
      <c r="O4" s="472" t="s">
        <v>30</v>
      </c>
    </row>
    <row r="5" spans="3:17" x14ac:dyDescent="0.3">
      <c r="C5" s="474"/>
      <c r="D5" s="477"/>
      <c r="E5" s="466"/>
      <c r="F5" s="466"/>
      <c r="G5" s="466"/>
      <c r="H5" s="466"/>
      <c r="I5" s="466"/>
      <c r="J5" s="26" t="s">
        <v>180</v>
      </c>
      <c r="K5" s="26" t="s">
        <v>181</v>
      </c>
      <c r="L5" s="26" t="s">
        <v>180</v>
      </c>
      <c r="M5" s="26" t="s">
        <v>181</v>
      </c>
      <c r="N5" s="466"/>
      <c r="O5" s="472"/>
    </row>
    <row r="6" spans="3:17" x14ac:dyDescent="0.3">
      <c r="C6" s="475"/>
      <c r="D6" s="478"/>
      <c r="E6" s="26" t="s">
        <v>33</v>
      </c>
      <c r="F6" s="26" t="s">
        <v>33</v>
      </c>
      <c r="G6" s="26" t="s">
        <v>32</v>
      </c>
      <c r="H6" s="26" t="s">
        <v>35</v>
      </c>
      <c r="I6" s="26" t="s">
        <v>35</v>
      </c>
      <c r="J6" s="26" t="s">
        <v>32</v>
      </c>
      <c r="K6" s="26" t="s">
        <v>32</v>
      </c>
      <c r="L6" s="26" t="s">
        <v>35</v>
      </c>
      <c r="M6" s="26" t="s">
        <v>35</v>
      </c>
      <c r="N6" s="26" t="s">
        <v>36</v>
      </c>
      <c r="O6" s="32" t="s">
        <v>34</v>
      </c>
    </row>
    <row r="7" spans="3:17" x14ac:dyDescent="0.3">
      <c r="C7" s="467" t="s">
        <v>66</v>
      </c>
      <c r="D7" s="24" t="s">
        <v>180</v>
      </c>
      <c r="E7" s="112">
        <v>0</v>
      </c>
      <c r="F7" s="112">
        <v>0</v>
      </c>
      <c r="G7" s="113">
        <v>0</v>
      </c>
      <c r="H7" s="113">
        <v>0</v>
      </c>
      <c r="I7" s="113">
        <v>0</v>
      </c>
      <c r="J7" s="113">
        <v>0</v>
      </c>
      <c r="K7" s="113">
        <f>IF(G7=0,0,IF(J7=0,0,G7-J7-5))</f>
        <v>0</v>
      </c>
      <c r="L7" s="113">
        <f t="shared" ref="L7:L20" si="0">ROUNDUP((E7*F7-(H7*2.35+I7*1.8))/0.08,0)</f>
        <v>0</v>
      </c>
      <c r="M7" s="113">
        <f>ROUNDUP((E7*F7-(H7*2.35+I7*1.8))/0.08,0)</f>
        <v>0</v>
      </c>
      <c r="N7" s="112">
        <f>M7/100/20+L7/100/20</f>
        <v>0</v>
      </c>
      <c r="O7" s="114">
        <f>N7*20/7</f>
        <v>0</v>
      </c>
      <c r="Q7">
        <f>E7*F7*2</f>
        <v>0</v>
      </c>
    </row>
    <row r="8" spans="3:17" x14ac:dyDescent="0.3">
      <c r="C8" s="467"/>
      <c r="D8" s="24" t="s">
        <v>181</v>
      </c>
      <c r="E8" s="112">
        <v>0</v>
      </c>
      <c r="F8" s="112">
        <v>0</v>
      </c>
      <c r="G8" s="113">
        <v>0</v>
      </c>
      <c r="H8" s="113">
        <v>0</v>
      </c>
      <c r="I8" s="113">
        <v>0</v>
      </c>
      <c r="J8" s="465">
        <f>G8</f>
        <v>0</v>
      </c>
      <c r="K8" s="465"/>
      <c r="L8" s="465">
        <f t="shared" si="0"/>
        <v>0</v>
      </c>
      <c r="M8" s="465"/>
      <c r="N8" s="112">
        <f>L8/100/20</f>
        <v>0</v>
      </c>
      <c r="O8" s="114">
        <f t="shared" ref="O8:O20" si="1">N8*20/7</f>
        <v>0</v>
      </c>
      <c r="Q8">
        <f t="shared" ref="Q8:Q20" si="2">E8*F8</f>
        <v>0</v>
      </c>
    </row>
    <row r="9" spans="3:17" x14ac:dyDescent="0.3">
      <c r="C9" s="467"/>
      <c r="D9" s="24" t="s">
        <v>182</v>
      </c>
      <c r="E9" s="112">
        <v>0</v>
      </c>
      <c r="F9" s="112">
        <v>0</v>
      </c>
      <c r="G9" s="113">
        <v>0</v>
      </c>
      <c r="H9" s="113">
        <v>0</v>
      </c>
      <c r="I9" s="113">
        <v>0</v>
      </c>
      <c r="J9" s="465">
        <f>G9</f>
        <v>0</v>
      </c>
      <c r="K9" s="465"/>
      <c r="L9" s="465">
        <f t="shared" si="0"/>
        <v>0</v>
      </c>
      <c r="M9" s="465"/>
      <c r="N9" s="112">
        <f>L9/100/20</f>
        <v>0</v>
      </c>
      <c r="O9" s="114">
        <f t="shared" si="1"/>
        <v>0</v>
      </c>
      <c r="Q9">
        <f t="shared" si="2"/>
        <v>0</v>
      </c>
    </row>
    <row r="10" spans="3:17" x14ac:dyDescent="0.3">
      <c r="C10" s="467" t="s">
        <v>67</v>
      </c>
      <c r="D10" s="24" t="s">
        <v>180</v>
      </c>
      <c r="E10" s="112">
        <v>0</v>
      </c>
      <c r="F10" s="112">
        <v>0</v>
      </c>
      <c r="G10" s="113">
        <v>0</v>
      </c>
      <c r="H10" s="113">
        <v>0</v>
      </c>
      <c r="I10" s="113">
        <v>0</v>
      </c>
      <c r="J10" s="113">
        <v>0</v>
      </c>
      <c r="K10" s="113">
        <f>IF(G10=0,0,IF(J10=0,0,G10-J10-5))</f>
        <v>0</v>
      </c>
      <c r="L10" s="113">
        <f t="shared" si="0"/>
        <v>0</v>
      </c>
      <c r="M10" s="113">
        <f>ROUNDUP((E10*F10-(H10*2.35+I10*1.8))/0.08,0)</f>
        <v>0</v>
      </c>
      <c r="N10" s="112">
        <f>M10/100/20+L10/100/20</f>
        <v>0</v>
      </c>
      <c r="O10" s="114">
        <f t="shared" si="1"/>
        <v>0</v>
      </c>
      <c r="Q10">
        <f>E10*F10*2</f>
        <v>0</v>
      </c>
    </row>
    <row r="11" spans="3:17" x14ac:dyDescent="0.3">
      <c r="C11" s="467"/>
      <c r="D11" s="24" t="s">
        <v>181</v>
      </c>
      <c r="E11" s="112">
        <v>0</v>
      </c>
      <c r="F11" s="112">
        <v>0</v>
      </c>
      <c r="G11" s="113">
        <v>0</v>
      </c>
      <c r="H11" s="113">
        <v>0</v>
      </c>
      <c r="I11" s="113">
        <v>0</v>
      </c>
      <c r="J11" s="465">
        <f>G11</f>
        <v>0</v>
      </c>
      <c r="K11" s="465"/>
      <c r="L11" s="465">
        <f t="shared" si="0"/>
        <v>0</v>
      </c>
      <c r="M11" s="465"/>
      <c r="N11" s="112">
        <f>L11/100/20</f>
        <v>0</v>
      </c>
      <c r="O11" s="114">
        <f t="shared" si="1"/>
        <v>0</v>
      </c>
      <c r="Q11">
        <f t="shared" si="2"/>
        <v>0</v>
      </c>
    </row>
    <row r="12" spans="3:17" x14ac:dyDescent="0.3">
      <c r="C12" s="467"/>
      <c r="D12" s="24" t="s">
        <v>182</v>
      </c>
      <c r="E12" s="112">
        <v>0</v>
      </c>
      <c r="F12" s="112">
        <v>0</v>
      </c>
      <c r="G12" s="113">
        <v>0</v>
      </c>
      <c r="H12" s="113">
        <v>0</v>
      </c>
      <c r="I12" s="113">
        <v>0</v>
      </c>
      <c r="J12" s="465">
        <f>G12</f>
        <v>0</v>
      </c>
      <c r="K12" s="465"/>
      <c r="L12" s="465">
        <f t="shared" si="0"/>
        <v>0</v>
      </c>
      <c r="M12" s="465"/>
      <c r="N12" s="112">
        <f>L12/100/20</f>
        <v>0</v>
      </c>
      <c r="O12" s="114">
        <f t="shared" si="1"/>
        <v>0</v>
      </c>
      <c r="Q12">
        <f t="shared" si="2"/>
        <v>0</v>
      </c>
    </row>
    <row r="13" spans="3:17" x14ac:dyDescent="0.3">
      <c r="C13" s="467" t="s">
        <v>68</v>
      </c>
      <c r="D13" s="24" t="s">
        <v>180</v>
      </c>
      <c r="E13" s="112">
        <v>0</v>
      </c>
      <c r="F13" s="112">
        <v>0</v>
      </c>
      <c r="G13" s="113">
        <v>0</v>
      </c>
      <c r="H13" s="113">
        <v>0</v>
      </c>
      <c r="I13" s="113">
        <v>0</v>
      </c>
      <c r="J13" s="113">
        <v>0</v>
      </c>
      <c r="K13" s="113">
        <f>IF(G13=0,0,IF(J13=0,0,G13-J13-5))</f>
        <v>0</v>
      </c>
      <c r="L13" s="113">
        <f t="shared" si="0"/>
        <v>0</v>
      </c>
      <c r="M13" s="113">
        <f>ROUNDUP((E13*F13-(H13*2.35+I13*1.8))/0.08,0)</f>
        <v>0</v>
      </c>
      <c r="N13" s="112">
        <f>M13/100/20+L13/100/20</f>
        <v>0</v>
      </c>
      <c r="O13" s="114">
        <f t="shared" si="1"/>
        <v>0</v>
      </c>
      <c r="Q13">
        <f>E13*F13*2</f>
        <v>0</v>
      </c>
    </row>
    <row r="14" spans="3:17" x14ac:dyDescent="0.3">
      <c r="C14" s="467"/>
      <c r="D14" s="24" t="s">
        <v>181</v>
      </c>
      <c r="E14" s="112">
        <v>0</v>
      </c>
      <c r="F14" s="112">
        <v>0</v>
      </c>
      <c r="G14" s="113">
        <v>0</v>
      </c>
      <c r="H14" s="113">
        <v>0</v>
      </c>
      <c r="I14" s="113">
        <v>0</v>
      </c>
      <c r="J14" s="465">
        <f>G14</f>
        <v>0</v>
      </c>
      <c r="K14" s="465"/>
      <c r="L14" s="465">
        <f t="shared" si="0"/>
        <v>0</v>
      </c>
      <c r="M14" s="465"/>
      <c r="N14" s="112">
        <f>L14/100/20</f>
        <v>0</v>
      </c>
      <c r="O14" s="114">
        <f t="shared" si="1"/>
        <v>0</v>
      </c>
      <c r="Q14">
        <f t="shared" si="2"/>
        <v>0</v>
      </c>
    </row>
    <row r="15" spans="3:17" x14ac:dyDescent="0.3">
      <c r="C15" s="467"/>
      <c r="D15" s="24" t="s">
        <v>182</v>
      </c>
      <c r="E15" s="112">
        <v>0</v>
      </c>
      <c r="F15" s="112">
        <v>0</v>
      </c>
      <c r="G15" s="113">
        <v>0</v>
      </c>
      <c r="H15" s="113">
        <v>0</v>
      </c>
      <c r="I15" s="113">
        <v>0</v>
      </c>
      <c r="J15" s="465">
        <f>G15</f>
        <v>0</v>
      </c>
      <c r="K15" s="465"/>
      <c r="L15" s="465">
        <f t="shared" si="0"/>
        <v>0</v>
      </c>
      <c r="M15" s="465"/>
      <c r="N15" s="112">
        <f>L15/100/20</f>
        <v>0</v>
      </c>
      <c r="O15" s="114">
        <f t="shared" si="1"/>
        <v>0</v>
      </c>
      <c r="Q15">
        <f t="shared" si="2"/>
        <v>0</v>
      </c>
    </row>
    <row r="16" spans="3:17" x14ac:dyDescent="0.3">
      <c r="C16" s="467" t="s">
        <v>183</v>
      </c>
      <c r="D16" s="24" t="s">
        <v>180</v>
      </c>
      <c r="E16" s="112">
        <v>0</v>
      </c>
      <c r="F16" s="112">
        <v>0</v>
      </c>
      <c r="G16" s="113">
        <v>0</v>
      </c>
      <c r="H16" s="113">
        <v>0</v>
      </c>
      <c r="I16" s="113">
        <v>0</v>
      </c>
      <c r="J16" s="113">
        <v>0</v>
      </c>
      <c r="K16" s="113">
        <f>IF(G16=0,0,IF(J16=0,0,G16-J16-5))</f>
        <v>0</v>
      </c>
      <c r="L16" s="113">
        <f t="shared" si="0"/>
        <v>0</v>
      </c>
      <c r="M16" s="113">
        <f>ROUNDUP((E16*F16-(H16*2.35+I16*1.8))/0.08,0)</f>
        <v>0</v>
      </c>
      <c r="N16" s="112">
        <f>M16/100/20+L16/100/20</f>
        <v>0</v>
      </c>
      <c r="O16" s="114">
        <f t="shared" si="1"/>
        <v>0</v>
      </c>
      <c r="Q16">
        <f>E16*F16*2</f>
        <v>0</v>
      </c>
    </row>
    <row r="17" spans="3:17" x14ac:dyDescent="0.3">
      <c r="C17" s="467"/>
      <c r="D17" s="24" t="s">
        <v>181</v>
      </c>
      <c r="E17" s="112">
        <v>0</v>
      </c>
      <c r="F17" s="112">
        <v>0</v>
      </c>
      <c r="G17" s="113">
        <v>0</v>
      </c>
      <c r="H17" s="113">
        <v>0</v>
      </c>
      <c r="I17" s="113">
        <v>0</v>
      </c>
      <c r="J17" s="465">
        <f>G17</f>
        <v>0</v>
      </c>
      <c r="K17" s="465"/>
      <c r="L17" s="465">
        <f t="shared" si="0"/>
        <v>0</v>
      </c>
      <c r="M17" s="465"/>
      <c r="N17" s="112">
        <f>L17/100/20</f>
        <v>0</v>
      </c>
      <c r="O17" s="114">
        <f t="shared" si="1"/>
        <v>0</v>
      </c>
      <c r="Q17">
        <f t="shared" si="2"/>
        <v>0</v>
      </c>
    </row>
    <row r="18" spans="3:17" x14ac:dyDescent="0.3">
      <c r="C18" s="467"/>
      <c r="D18" s="24" t="s">
        <v>182</v>
      </c>
      <c r="E18" s="112">
        <v>0</v>
      </c>
      <c r="F18" s="112">
        <v>0</v>
      </c>
      <c r="G18" s="113">
        <v>0</v>
      </c>
      <c r="H18" s="113">
        <v>0</v>
      </c>
      <c r="I18" s="113">
        <v>0</v>
      </c>
      <c r="J18" s="465">
        <f>G18</f>
        <v>0</v>
      </c>
      <c r="K18" s="465"/>
      <c r="L18" s="465">
        <f t="shared" si="0"/>
        <v>0</v>
      </c>
      <c r="M18" s="465"/>
      <c r="N18" s="112">
        <f>L18/100/20</f>
        <v>0</v>
      </c>
      <c r="O18" s="114">
        <f t="shared" si="1"/>
        <v>0</v>
      </c>
      <c r="Q18">
        <f t="shared" si="2"/>
        <v>0</v>
      </c>
    </row>
    <row r="19" spans="3:17" x14ac:dyDescent="0.3">
      <c r="C19" s="467" t="s">
        <v>184</v>
      </c>
      <c r="D19" s="24" t="s">
        <v>70</v>
      </c>
      <c r="E19" s="112">
        <v>0</v>
      </c>
      <c r="F19" s="112">
        <v>0</v>
      </c>
      <c r="G19" s="113">
        <v>0</v>
      </c>
      <c r="H19" s="113">
        <v>0</v>
      </c>
      <c r="I19" s="113">
        <v>0</v>
      </c>
      <c r="J19" s="465">
        <f>G19</f>
        <v>0</v>
      </c>
      <c r="K19" s="465"/>
      <c r="L19" s="465">
        <f t="shared" si="0"/>
        <v>0</v>
      </c>
      <c r="M19" s="465"/>
      <c r="N19" s="112">
        <f>L19/100/20</f>
        <v>0</v>
      </c>
      <c r="O19" s="114">
        <f t="shared" si="1"/>
        <v>0</v>
      </c>
      <c r="Q19">
        <f t="shared" si="2"/>
        <v>0</v>
      </c>
    </row>
    <row r="20" spans="3:17" ht="16.2" thickBot="1" x14ac:dyDescent="0.35">
      <c r="C20" s="468"/>
      <c r="D20" s="115" t="s">
        <v>69</v>
      </c>
      <c r="E20" s="116">
        <v>0</v>
      </c>
      <c r="F20" s="116">
        <v>0</v>
      </c>
      <c r="G20" s="117">
        <v>0</v>
      </c>
      <c r="H20" s="117">
        <v>0</v>
      </c>
      <c r="I20" s="117">
        <v>0</v>
      </c>
      <c r="J20" s="465">
        <f>G20</f>
        <v>0</v>
      </c>
      <c r="K20" s="465"/>
      <c r="L20" s="461">
        <f t="shared" si="0"/>
        <v>0</v>
      </c>
      <c r="M20" s="461"/>
      <c r="N20" s="116">
        <f>L20/100/20</f>
        <v>0</v>
      </c>
      <c r="O20" s="118">
        <f t="shared" si="1"/>
        <v>0</v>
      </c>
      <c r="Q20">
        <f t="shared" si="2"/>
        <v>0</v>
      </c>
    </row>
    <row r="21" spans="3:17" ht="18.75" customHeight="1" thickBot="1" x14ac:dyDescent="0.35">
      <c r="C21" s="462" t="s">
        <v>14</v>
      </c>
      <c r="D21" s="463"/>
      <c r="E21" s="463"/>
      <c r="F21" s="463"/>
      <c r="G21" s="463"/>
      <c r="H21" s="119">
        <f>SUM(H7:H20)</f>
        <v>0</v>
      </c>
      <c r="I21" s="119">
        <f>SUM(I7:I20)</f>
        <v>0</v>
      </c>
      <c r="J21" s="464" t="s">
        <v>31</v>
      </c>
      <c r="K21" s="464"/>
      <c r="L21" s="464">
        <f>SUM(L7:M20)</f>
        <v>0</v>
      </c>
      <c r="M21" s="463"/>
      <c r="N21" s="120">
        <f>SUM(N7:N20)</f>
        <v>0</v>
      </c>
      <c r="O21" s="121">
        <f>SUM(O7:O20)</f>
        <v>0</v>
      </c>
      <c r="Q21">
        <f>SUM(Q7:Q20)</f>
        <v>0</v>
      </c>
    </row>
    <row r="24" spans="3:17" ht="18" x14ac:dyDescent="0.3">
      <c r="C24" s="368" t="s">
        <v>100</v>
      </c>
      <c r="D24" s="369"/>
    </row>
    <row r="25" spans="3:17" ht="18" x14ac:dyDescent="0.3">
      <c r="C25" s="28" t="s">
        <v>76</v>
      </c>
      <c r="D25" s="30">
        <f>N21*sumry!E7</f>
        <v>0</v>
      </c>
    </row>
    <row r="26" spans="3:17" ht="18" x14ac:dyDescent="0.3">
      <c r="C26" s="28" t="s">
        <v>188</v>
      </c>
      <c r="D26" s="30">
        <f>O21*sumry!E11</f>
        <v>0</v>
      </c>
    </row>
    <row r="27" spans="3:17" ht="18" x14ac:dyDescent="0.3">
      <c r="C27" s="28" t="s">
        <v>187</v>
      </c>
      <c r="D27" s="30">
        <f>L21*sumry!E10</f>
        <v>0</v>
      </c>
    </row>
    <row r="28" spans="3:17" ht="18" x14ac:dyDescent="0.3">
      <c r="C28" s="28" t="s">
        <v>136</v>
      </c>
      <c r="D28" s="30">
        <f>IF(L21=0,0,(H21+I21)*5+Q21*0.8+(E9+E12+E15+E18)*0.8+30)</f>
        <v>0</v>
      </c>
    </row>
    <row r="29" spans="3:17" ht="21" x14ac:dyDescent="0.3">
      <c r="C29" s="28" t="s">
        <v>14</v>
      </c>
      <c r="D29" s="46">
        <f>SUM(D25:D28)</f>
        <v>0</v>
      </c>
    </row>
  </sheetData>
  <mergeCells count="41">
    <mergeCell ref="C3:O3"/>
    <mergeCell ref="J4:K4"/>
    <mergeCell ref="J8:K8"/>
    <mergeCell ref="J9:K9"/>
    <mergeCell ref="C7:C9"/>
    <mergeCell ref="N4:N5"/>
    <mergeCell ref="O4:O5"/>
    <mergeCell ref="L4:M4"/>
    <mergeCell ref="L8:M8"/>
    <mergeCell ref="L9:M9"/>
    <mergeCell ref="C4:C6"/>
    <mergeCell ref="D4:D6"/>
    <mergeCell ref="C10:C12"/>
    <mergeCell ref="C13:C15"/>
    <mergeCell ref="C16:C18"/>
    <mergeCell ref="C19:C20"/>
    <mergeCell ref="J12:K12"/>
    <mergeCell ref="J14:K14"/>
    <mergeCell ref="J15:K15"/>
    <mergeCell ref="J17:K17"/>
    <mergeCell ref="J18:K18"/>
    <mergeCell ref="L11:M11"/>
    <mergeCell ref="J19:K19"/>
    <mergeCell ref="E4:E5"/>
    <mergeCell ref="F4:F5"/>
    <mergeCell ref="G4:G5"/>
    <mergeCell ref="H4:H5"/>
    <mergeCell ref="I4:I5"/>
    <mergeCell ref="J11:K11"/>
    <mergeCell ref="L19:M19"/>
    <mergeCell ref="L12:M12"/>
    <mergeCell ref="L14:M14"/>
    <mergeCell ref="L15:M15"/>
    <mergeCell ref="L17:M17"/>
    <mergeCell ref="L18:M18"/>
    <mergeCell ref="L20:M20"/>
    <mergeCell ref="C21:G21"/>
    <mergeCell ref="L21:M21"/>
    <mergeCell ref="J21:K21"/>
    <mergeCell ref="C24:D24"/>
    <mergeCell ref="J20:K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C16D-3497-473D-AB1F-A4F696480403}">
  <dimension ref="C2:W32"/>
  <sheetViews>
    <sheetView rightToLeft="1" topLeftCell="A4" zoomScale="70" zoomScaleNormal="70" workbookViewId="0">
      <selection activeCell="Y16" sqref="Y16"/>
    </sheetView>
  </sheetViews>
  <sheetFormatPr defaultRowHeight="15.6" x14ac:dyDescent="0.3"/>
  <cols>
    <col min="3" max="3" width="13" style="111" customWidth="1"/>
    <col min="4" max="4" width="20.21875" style="111" customWidth="1"/>
    <col min="5" max="5" width="13" style="111" customWidth="1"/>
    <col min="6" max="6" width="14" style="111" customWidth="1"/>
    <col min="7" max="11" width="13" style="111" customWidth="1"/>
    <col min="13" max="23" width="0" hidden="1" customWidth="1"/>
  </cols>
  <sheetData>
    <row r="2" spans="3:23" ht="16.2" thickBot="1" x14ac:dyDescent="0.35"/>
    <row r="3" spans="3:23" ht="21" x14ac:dyDescent="0.3">
      <c r="C3" s="469" t="s">
        <v>128</v>
      </c>
      <c r="D3" s="470"/>
      <c r="E3" s="470"/>
      <c r="F3" s="470"/>
      <c r="G3" s="470"/>
      <c r="H3" s="470"/>
      <c r="I3" s="470"/>
      <c r="J3" s="470"/>
      <c r="K3" s="471"/>
    </row>
    <row r="4" spans="3:23" ht="14.4" x14ac:dyDescent="0.3">
      <c r="C4" s="473" t="s">
        <v>65</v>
      </c>
      <c r="D4" s="476" t="s">
        <v>179</v>
      </c>
      <c r="E4" s="466" t="s">
        <v>2</v>
      </c>
      <c r="F4" s="466" t="s">
        <v>217</v>
      </c>
      <c r="G4" s="466" t="s">
        <v>194</v>
      </c>
      <c r="H4" s="466" t="s">
        <v>28</v>
      </c>
      <c r="I4" s="466" t="s">
        <v>29</v>
      </c>
      <c r="J4" s="466" t="s">
        <v>80</v>
      </c>
      <c r="K4" s="472" t="s">
        <v>30</v>
      </c>
    </row>
    <row r="5" spans="3:23" ht="14.4" x14ac:dyDescent="0.3">
      <c r="C5" s="474"/>
      <c r="D5" s="477"/>
      <c r="E5" s="466"/>
      <c r="F5" s="466"/>
      <c r="G5" s="466"/>
      <c r="H5" s="466"/>
      <c r="I5" s="466"/>
      <c r="J5" s="466"/>
      <c r="K5" s="472"/>
    </row>
    <row r="6" spans="3:23" x14ac:dyDescent="0.3">
      <c r="C6" s="475"/>
      <c r="D6" s="478"/>
      <c r="E6" s="26" t="s">
        <v>33</v>
      </c>
      <c r="F6" s="26" t="s">
        <v>33</v>
      </c>
      <c r="G6" s="26" t="s">
        <v>32</v>
      </c>
      <c r="H6" s="26" t="s">
        <v>35</v>
      </c>
      <c r="I6" s="26" t="s">
        <v>35</v>
      </c>
      <c r="J6" s="26" t="s">
        <v>36</v>
      </c>
      <c r="K6" s="32" t="s">
        <v>34</v>
      </c>
      <c r="M6" s="126" t="s">
        <v>197</v>
      </c>
      <c r="N6" s="126" t="s">
        <v>198</v>
      </c>
      <c r="O6" s="126" t="s">
        <v>199</v>
      </c>
      <c r="P6" s="126" t="s">
        <v>201</v>
      </c>
      <c r="Q6" s="126" t="s">
        <v>200</v>
      </c>
      <c r="R6" s="126" t="s">
        <v>202</v>
      </c>
      <c r="S6" s="126" t="s">
        <v>203</v>
      </c>
      <c r="T6" s="126" t="s">
        <v>204</v>
      </c>
      <c r="U6" s="126" t="s">
        <v>205</v>
      </c>
      <c r="V6" s="126" t="s">
        <v>206</v>
      </c>
      <c r="W6" s="126" t="s">
        <v>207</v>
      </c>
    </row>
    <row r="7" spans="3:23" x14ac:dyDescent="0.3">
      <c r="C7" s="467" t="s">
        <v>66</v>
      </c>
      <c r="D7" s="24" t="s">
        <v>196</v>
      </c>
      <c r="E7" s="112">
        <v>0</v>
      </c>
      <c r="F7" s="112">
        <v>0</v>
      </c>
      <c r="G7" s="113">
        <v>0</v>
      </c>
      <c r="H7" s="113">
        <v>0</v>
      </c>
      <c r="I7" s="113">
        <v>0</v>
      </c>
      <c r="J7" s="112">
        <f>ROUNDUP(T7*29/20,1)</f>
        <v>0</v>
      </c>
      <c r="K7" s="114">
        <f>ROUNDUP(W7,1)</f>
        <v>0</v>
      </c>
      <c r="M7">
        <f t="shared" ref="M7:M24" si="0">E7*F7</f>
        <v>0</v>
      </c>
      <c r="N7">
        <f>H7*2.35+I7*1.8</f>
        <v>0</v>
      </c>
      <c r="O7">
        <f t="shared" ref="O7:O24" si="1">M7-N7</f>
        <v>0</v>
      </c>
      <c r="P7">
        <f t="shared" ref="P7:P24" si="2">O7*G7/100</f>
        <v>0</v>
      </c>
      <c r="Q7">
        <f>O7*G7/200</f>
        <v>0</v>
      </c>
      <c r="R7">
        <f t="shared" ref="R7:R24" si="3">P7*1.3/5</f>
        <v>0</v>
      </c>
      <c r="S7">
        <f>Q7*1.3/4</f>
        <v>0</v>
      </c>
      <c r="T7">
        <f t="shared" ref="T7:T24" si="4">S7+R7</f>
        <v>0</v>
      </c>
      <c r="U7">
        <f>P7*1.3*4/5</f>
        <v>0</v>
      </c>
      <c r="V7">
        <f>Q7*1.3*3/4</f>
        <v>0</v>
      </c>
      <c r="W7">
        <f>V7+U7</f>
        <v>0</v>
      </c>
    </row>
    <row r="8" spans="3:23" x14ac:dyDescent="0.3">
      <c r="C8" s="467"/>
      <c r="D8" s="24" t="s">
        <v>195</v>
      </c>
      <c r="E8" s="112">
        <v>0</v>
      </c>
      <c r="F8" s="112">
        <v>0</v>
      </c>
      <c r="G8" s="113">
        <v>0</v>
      </c>
      <c r="H8" s="113">
        <v>0</v>
      </c>
      <c r="I8" s="113">
        <v>0</v>
      </c>
      <c r="J8" s="112">
        <f t="shared" ref="J8:J9" si="5">ROUNDUP(T8*29/20,1)</f>
        <v>0</v>
      </c>
      <c r="K8" s="114">
        <f t="shared" ref="K8:K9" si="6">ROUNDUP(W8,1)</f>
        <v>0</v>
      </c>
      <c r="M8">
        <f t="shared" si="0"/>
        <v>0</v>
      </c>
      <c r="N8">
        <f>H8*2.35+I8*1.8</f>
        <v>0</v>
      </c>
      <c r="O8">
        <f t="shared" si="1"/>
        <v>0</v>
      </c>
      <c r="P8">
        <f t="shared" si="2"/>
        <v>0</v>
      </c>
      <c r="Q8">
        <f>O8*G8/100</f>
        <v>0</v>
      </c>
      <c r="R8">
        <f t="shared" si="3"/>
        <v>0</v>
      </c>
      <c r="S8">
        <f>Q8*1.3/4</f>
        <v>0</v>
      </c>
      <c r="T8">
        <f t="shared" si="4"/>
        <v>0</v>
      </c>
      <c r="U8">
        <f t="shared" ref="U8:U9" si="7">P8*1.3*4/5</f>
        <v>0</v>
      </c>
      <c r="V8">
        <f t="shared" ref="V8" si="8">Q8*1.3*3/4</f>
        <v>0</v>
      </c>
      <c r="W8">
        <f t="shared" ref="W8:W9" si="9">V8+U8</f>
        <v>0</v>
      </c>
    </row>
    <row r="9" spans="3:23" x14ac:dyDescent="0.3">
      <c r="C9" s="467"/>
      <c r="D9" s="24" t="s">
        <v>181</v>
      </c>
      <c r="E9" s="112">
        <v>0</v>
      </c>
      <c r="F9" s="112">
        <v>0</v>
      </c>
      <c r="G9" s="113">
        <v>0</v>
      </c>
      <c r="H9" s="113">
        <v>0</v>
      </c>
      <c r="I9" s="113">
        <v>0</v>
      </c>
      <c r="J9" s="112">
        <f t="shared" si="5"/>
        <v>0</v>
      </c>
      <c r="K9" s="114">
        <f t="shared" si="6"/>
        <v>0</v>
      </c>
      <c r="M9">
        <f t="shared" si="0"/>
        <v>0</v>
      </c>
      <c r="N9">
        <f>H9*2.35+I9*1.8</f>
        <v>0</v>
      </c>
      <c r="O9">
        <f t="shared" si="1"/>
        <v>0</v>
      </c>
      <c r="P9">
        <f t="shared" si="2"/>
        <v>0</v>
      </c>
      <c r="Q9">
        <f>O9*G9/100</f>
        <v>0</v>
      </c>
      <c r="R9">
        <f t="shared" si="3"/>
        <v>0</v>
      </c>
      <c r="S9">
        <f>Q9*1.3/5</f>
        <v>0</v>
      </c>
      <c r="T9">
        <f t="shared" si="4"/>
        <v>0</v>
      </c>
      <c r="U9">
        <f t="shared" si="7"/>
        <v>0</v>
      </c>
      <c r="V9">
        <f>Q9*1.3*4/5</f>
        <v>0</v>
      </c>
      <c r="W9">
        <f t="shared" si="9"/>
        <v>0</v>
      </c>
    </row>
    <row r="10" spans="3:23" x14ac:dyDescent="0.3">
      <c r="C10" s="467"/>
      <c r="D10" s="24" t="s">
        <v>193</v>
      </c>
      <c r="E10" s="112">
        <v>0</v>
      </c>
      <c r="F10" s="112">
        <v>0</v>
      </c>
      <c r="G10" s="113">
        <v>0</v>
      </c>
      <c r="H10" s="479" t="s">
        <v>31</v>
      </c>
      <c r="I10" s="480"/>
      <c r="J10" s="112">
        <f t="shared" ref="J10" si="10">ROUNDUP(T10*29/20,1)</f>
        <v>0</v>
      </c>
      <c r="K10" s="114">
        <f t="shared" ref="K10" si="11">ROUNDUP(W10,1)</f>
        <v>0</v>
      </c>
      <c r="M10">
        <f t="shared" si="0"/>
        <v>0</v>
      </c>
      <c r="N10">
        <v>0</v>
      </c>
      <c r="O10">
        <f t="shared" si="1"/>
        <v>0</v>
      </c>
      <c r="P10">
        <f t="shared" si="2"/>
        <v>0</v>
      </c>
      <c r="Q10">
        <f>O10*G10/100</f>
        <v>0</v>
      </c>
      <c r="R10">
        <f t="shared" si="3"/>
        <v>0</v>
      </c>
      <c r="S10">
        <f>Q10*1.3/5</f>
        <v>0</v>
      </c>
      <c r="T10">
        <f t="shared" si="4"/>
        <v>0</v>
      </c>
      <c r="U10">
        <f t="shared" ref="U10" si="12">P10*1.3*4/5</f>
        <v>0</v>
      </c>
      <c r="V10">
        <f>Q10*1.3*4/5</f>
        <v>0</v>
      </c>
      <c r="W10">
        <f t="shared" ref="W10" si="13">V10+U10</f>
        <v>0</v>
      </c>
    </row>
    <row r="11" spans="3:23" x14ac:dyDescent="0.3">
      <c r="C11" s="467" t="s">
        <v>67</v>
      </c>
      <c r="D11" s="24" t="s">
        <v>196</v>
      </c>
      <c r="E11" s="112">
        <v>0</v>
      </c>
      <c r="F11" s="112">
        <v>0</v>
      </c>
      <c r="G11" s="113">
        <v>0</v>
      </c>
      <c r="H11" s="113">
        <v>0</v>
      </c>
      <c r="I11" s="113">
        <v>0</v>
      </c>
      <c r="J11" s="112">
        <f>ROUNDUP(T11*29/20,1)</f>
        <v>0</v>
      </c>
      <c r="K11" s="114">
        <f>ROUNDUP(W11,1)</f>
        <v>0</v>
      </c>
      <c r="M11">
        <f t="shared" si="0"/>
        <v>0</v>
      </c>
      <c r="N11">
        <f>H11*2.35+I11*1.8</f>
        <v>0</v>
      </c>
      <c r="O11">
        <f t="shared" si="1"/>
        <v>0</v>
      </c>
      <c r="P11">
        <f t="shared" si="2"/>
        <v>0</v>
      </c>
      <c r="Q11">
        <f>O11*G11/200</f>
        <v>0</v>
      </c>
      <c r="R11">
        <f t="shared" si="3"/>
        <v>0</v>
      </c>
      <c r="S11">
        <f>Q11*1.3/4</f>
        <v>0</v>
      </c>
      <c r="T11">
        <f t="shared" si="4"/>
        <v>0</v>
      </c>
      <c r="U11">
        <f>P11*1.3*4/5</f>
        <v>0</v>
      </c>
      <c r="V11">
        <f>Q11*1.3*3/4</f>
        <v>0</v>
      </c>
      <c r="W11">
        <f>V11+U11</f>
        <v>0</v>
      </c>
    </row>
    <row r="12" spans="3:23" x14ac:dyDescent="0.3">
      <c r="C12" s="467"/>
      <c r="D12" s="24" t="s">
        <v>195</v>
      </c>
      <c r="E12" s="112">
        <v>0</v>
      </c>
      <c r="F12" s="112">
        <v>0</v>
      </c>
      <c r="G12" s="113">
        <v>0</v>
      </c>
      <c r="H12" s="113">
        <v>0</v>
      </c>
      <c r="I12" s="113">
        <v>0</v>
      </c>
      <c r="J12" s="112">
        <f t="shared" ref="J12:J14" si="14">ROUNDUP(T12*29/20,1)</f>
        <v>0</v>
      </c>
      <c r="K12" s="114">
        <f t="shared" ref="K12:K14" si="15">ROUNDUP(W12,1)</f>
        <v>0</v>
      </c>
      <c r="M12">
        <f t="shared" si="0"/>
        <v>0</v>
      </c>
      <c r="N12">
        <f>H12*2.35+I12*1.8</f>
        <v>0</v>
      </c>
      <c r="O12">
        <f t="shared" si="1"/>
        <v>0</v>
      </c>
      <c r="P12">
        <f t="shared" si="2"/>
        <v>0</v>
      </c>
      <c r="Q12">
        <f>O12*G12/100</f>
        <v>0</v>
      </c>
      <c r="R12">
        <f t="shared" si="3"/>
        <v>0</v>
      </c>
      <c r="S12">
        <f>Q12*1.3/4</f>
        <v>0</v>
      </c>
      <c r="T12">
        <f t="shared" si="4"/>
        <v>0</v>
      </c>
      <c r="U12">
        <f t="shared" ref="U12:U14" si="16">P12*1.3*4/5</f>
        <v>0</v>
      </c>
      <c r="V12">
        <f t="shared" ref="V12" si="17">Q12*1.3*3/4</f>
        <v>0</v>
      </c>
      <c r="W12">
        <f t="shared" ref="W12:W14" si="18">V12+U12</f>
        <v>0</v>
      </c>
    </row>
    <row r="13" spans="3:23" x14ac:dyDescent="0.3">
      <c r="C13" s="467"/>
      <c r="D13" s="24" t="s">
        <v>181</v>
      </c>
      <c r="E13" s="112">
        <v>0</v>
      </c>
      <c r="F13" s="112">
        <v>0</v>
      </c>
      <c r="G13" s="113">
        <v>0</v>
      </c>
      <c r="H13" s="113">
        <v>0</v>
      </c>
      <c r="I13" s="113">
        <v>0</v>
      </c>
      <c r="J13" s="112">
        <f t="shared" si="14"/>
        <v>0</v>
      </c>
      <c r="K13" s="114">
        <f t="shared" si="15"/>
        <v>0</v>
      </c>
      <c r="M13">
        <f t="shared" si="0"/>
        <v>0</v>
      </c>
      <c r="N13">
        <f>H13*2.35+I13*1.8</f>
        <v>0</v>
      </c>
      <c r="O13">
        <f t="shared" si="1"/>
        <v>0</v>
      </c>
      <c r="P13">
        <f t="shared" si="2"/>
        <v>0</v>
      </c>
      <c r="Q13">
        <f>O13*G13/100</f>
        <v>0</v>
      </c>
      <c r="R13">
        <f t="shared" si="3"/>
        <v>0</v>
      </c>
      <c r="S13">
        <f>Q13*1.3/5</f>
        <v>0</v>
      </c>
      <c r="T13">
        <f t="shared" si="4"/>
        <v>0</v>
      </c>
      <c r="U13">
        <f t="shared" si="16"/>
        <v>0</v>
      </c>
      <c r="V13">
        <f>Q13*1.3*4/5</f>
        <v>0</v>
      </c>
      <c r="W13">
        <f t="shared" si="18"/>
        <v>0</v>
      </c>
    </row>
    <row r="14" spans="3:23" x14ac:dyDescent="0.3">
      <c r="C14" s="467"/>
      <c r="D14" s="24" t="s">
        <v>193</v>
      </c>
      <c r="E14" s="112">
        <v>0</v>
      </c>
      <c r="F14" s="112">
        <v>0</v>
      </c>
      <c r="G14" s="113">
        <v>0</v>
      </c>
      <c r="H14" s="479" t="s">
        <v>31</v>
      </c>
      <c r="I14" s="480"/>
      <c r="J14" s="112">
        <f t="shared" si="14"/>
        <v>0</v>
      </c>
      <c r="K14" s="114">
        <f t="shared" si="15"/>
        <v>0</v>
      </c>
      <c r="M14">
        <f t="shared" si="0"/>
        <v>0</v>
      </c>
      <c r="N14">
        <v>0</v>
      </c>
      <c r="O14">
        <f t="shared" si="1"/>
        <v>0</v>
      </c>
      <c r="P14">
        <f t="shared" si="2"/>
        <v>0</v>
      </c>
      <c r="Q14">
        <f>O14*G14/100</f>
        <v>0</v>
      </c>
      <c r="R14">
        <f t="shared" si="3"/>
        <v>0</v>
      </c>
      <c r="S14">
        <f>Q14*1.3/5</f>
        <v>0</v>
      </c>
      <c r="T14">
        <f t="shared" si="4"/>
        <v>0</v>
      </c>
      <c r="U14">
        <f t="shared" si="16"/>
        <v>0</v>
      </c>
      <c r="V14">
        <f>Q14*1.3*4/5</f>
        <v>0</v>
      </c>
      <c r="W14">
        <f t="shared" si="18"/>
        <v>0</v>
      </c>
    </row>
    <row r="15" spans="3:23" x14ac:dyDescent="0.3">
      <c r="C15" s="467" t="s">
        <v>68</v>
      </c>
      <c r="D15" s="24" t="s">
        <v>196</v>
      </c>
      <c r="E15" s="112">
        <v>0</v>
      </c>
      <c r="F15" s="112">
        <v>0</v>
      </c>
      <c r="G15" s="113">
        <v>0</v>
      </c>
      <c r="H15" s="113">
        <v>0</v>
      </c>
      <c r="I15" s="113">
        <v>0</v>
      </c>
      <c r="J15" s="112">
        <f>ROUNDUP(T15*29/20,1)</f>
        <v>0</v>
      </c>
      <c r="K15" s="114">
        <f>ROUNDUP(W15,1)</f>
        <v>0</v>
      </c>
      <c r="M15">
        <f t="shared" si="0"/>
        <v>0</v>
      </c>
      <c r="N15">
        <f>H15*2.35+I15*1.8</f>
        <v>0</v>
      </c>
      <c r="O15">
        <f t="shared" si="1"/>
        <v>0</v>
      </c>
      <c r="P15">
        <f t="shared" si="2"/>
        <v>0</v>
      </c>
      <c r="Q15">
        <f>O15*G15/200</f>
        <v>0</v>
      </c>
      <c r="R15">
        <f t="shared" si="3"/>
        <v>0</v>
      </c>
      <c r="S15">
        <f>Q15*1.3/4</f>
        <v>0</v>
      </c>
      <c r="T15">
        <f t="shared" si="4"/>
        <v>0</v>
      </c>
      <c r="U15">
        <f>P15*1.3*4/5</f>
        <v>0</v>
      </c>
      <c r="V15">
        <f>Q15*1.3*3/4</f>
        <v>0</v>
      </c>
      <c r="W15">
        <f>V15+U15</f>
        <v>0</v>
      </c>
    </row>
    <row r="16" spans="3:23" x14ac:dyDescent="0.3">
      <c r="C16" s="467"/>
      <c r="D16" s="24" t="s">
        <v>195</v>
      </c>
      <c r="E16" s="112">
        <v>0</v>
      </c>
      <c r="F16" s="112">
        <v>0</v>
      </c>
      <c r="G16" s="113">
        <v>0</v>
      </c>
      <c r="H16" s="113">
        <v>0</v>
      </c>
      <c r="I16" s="113">
        <v>0</v>
      </c>
      <c r="J16" s="112">
        <f t="shared" ref="J16:J18" si="19">ROUNDUP(T16*29/20,1)</f>
        <v>0</v>
      </c>
      <c r="K16" s="114">
        <f t="shared" ref="K16:K18" si="20">ROUNDUP(W16,1)</f>
        <v>0</v>
      </c>
      <c r="M16">
        <f t="shared" si="0"/>
        <v>0</v>
      </c>
      <c r="N16">
        <f>H16*2.35+I16*1.8</f>
        <v>0</v>
      </c>
      <c r="O16">
        <f t="shared" si="1"/>
        <v>0</v>
      </c>
      <c r="P16">
        <f t="shared" si="2"/>
        <v>0</v>
      </c>
      <c r="Q16">
        <f>O16*G16/100</f>
        <v>0</v>
      </c>
      <c r="R16">
        <f t="shared" si="3"/>
        <v>0</v>
      </c>
      <c r="S16">
        <f>Q16*1.3/4</f>
        <v>0</v>
      </c>
      <c r="T16">
        <f t="shared" si="4"/>
        <v>0</v>
      </c>
      <c r="U16">
        <f t="shared" ref="U16:U18" si="21">P16*1.3*4/5</f>
        <v>0</v>
      </c>
      <c r="V16">
        <f t="shared" ref="V16" si="22">Q16*1.3*3/4</f>
        <v>0</v>
      </c>
      <c r="W16">
        <f t="shared" ref="W16:W18" si="23">V16+U16</f>
        <v>0</v>
      </c>
    </row>
    <row r="17" spans="3:23" x14ac:dyDescent="0.3">
      <c r="C17" s="467"/>
      <c r="D17" s="24" t="s">
        <v>181</v>
      </c>
      <c r="E17" s="112">
        <v>0</v>
      </c>
      <c r="F17" s="112">
        <v>0</v>
      </c>
      <c r="G17" s="113">
        <v>0</v>
      </c>
      <c r="H17" s="113">
        <v>0</v>
      </c>
      <c r="I17" s="113">
        <v>0</v>
      </c>
      <c r="J17" s="112">
        <f t="shared" si="19"/>
        <v>0</v>
      </c>
      <c r="K17" s="114">
        <f t="shared" si="20"/>
        <v>0</v>
      </c>
      <c r="M17">
        <f t="shared" si="0"/>
        <v>0</v>
      </c>
      <c r="N17">
        <f>H17*2.35+I17*1.8</f>
        <v>0</v>
      </c>
      <c r="O17">
        <f t="shared" si="1"/>
        <v>0</v>
      </c>
      <c r="P17">
        <f t="shared" si="2"/>
        <v>0</v>
      </c>
      <c r="Q17">
        <f>O17*G17/100</f>
        <v>0</v>
      </c>
      <c r="R17">
        <f t="shared" si="3"/>
        <v>0</v>
      </c>
      <c r="S17">
        <f>Q17*1.3/5</f>
        <v>0</v>
      </c>
      <c r="T17">
        <f t="shared" si="4"/>
        <v>0</v>
      </c>
      <c r="U17">
        <f t="shared" si="21"/>
        <v>0</v>
      </c>
      <c r="V17">
        <f>Q17*1.3*4/5</f>
        <v>0</v>
      </c>
      <c r="W17">
        <f t="shared" si="23"/>
        <v>0</v>
      </c>
    </row>
    <row r="18" spans="3:23" x14ac:dyDescent="0.3">
      <c r="C18" s="467"/>
      <c r="D18" s="24" t="s">
        <v>193</v>
      </c>
      <c r="E18" s="112">
        <v>0</v>
      </c>
      <c r="F18" s="112">
        <v>0</v>
      </c>
      <c r="G18" s="113">
        <v>0</v>
      </c>
      <c r="H18" s="479" t="s">
        <v>31</v>
      </c>
      <c r="I18" s="480"/>
      <c r="J18" s="112">
        <f t="shared" si="19"/>
        <v>0</v>
      </c>
      <c r="K18" s="114">
        <f t="shared" si="20"/>
        <v>0</v>
      </c>
      <c r="M18">
        <f t="shared" si="0"/>
        <v>0</v>
      </c>
      <c r="N18">
        <v>0</v>
      </c>
      <c r="O18">
        <f t="shared" si="1"/>
        <v>0</v>
      </c>
      <c r="P18">
        <f t="shared" si="2"/>
        <v>0</v>
      </c>
      <c r="Q18">
        <f>O18*G18/100</f>
        <v>0</v>
      </c>
      <c r="R18">
        <f t="shared" si="3"/>
        <v>0</v>
      </c>
      <c r="S18">
        <f>Q18*1.3/5</f>
        <v>0</v>
      </c>
      <c r="T18">
        <f t="shared" si="4"/>
        <v>0</v>
      </c>
      <c r="U18">
        <f t="shared" si="21"/>
        <v>0</v>
      </c>
      <c r="V18">
        <f>Q18*1.3*4/5</f>
        <v>0</v>
      </c>
      <c r="W18">
        <f t="shared" si="23"/>
        <v>0</v>
      </c>
    </row>
    <row r="19" spans="3:23" x14ac:dyDescent="0.3">
      <c r="C19" s="467" t="s">
        <v>183</v>
      </c>
      <c r="D19" s="24" t="s">
        <v>196</v>
      </c>
      <c r="E19" s="112">
        <v>0</v>
      </c>
      <c r="F19" s="112">
        <v>0</v>
      </c>
      <c r="G19" s="113">
        <v>0</v>
      </c>
      <c r="H19" s="113">
        <v>0</v>
      </c>
      <c r="I19" s="113">
        <v>0</v>
      </c>
      <c r="J19" s="112">
        <f>ROUNDUP(T19*29/20,1)</f>
        <v>0</v>
      </c>
      <c r="K19" s="114">
        <f>ROUNDUP(W19,1)</f>
        <v>0</v>
      </c>
      <c r="M19">
        <f t="shared" si="0"/>
        <v>0</v>
      </c>
      <c r="N19">
        <f>H19*2.35+I19*1.8</f>
        <v>0</v>
      </c>
      <c r="O19">
        <f t="shared" si="1"/>
        <v>0</v>
      </c>
      <c r="P19">
        <f t="shared" si="2"/>
        <v>0</v>
      </c>
      <c r="Q19">
        <f>O19*G19/200</f>
        <v>0</v>
      </c>
      <c r="R19">
        <f t="shared" si="3"/>
        <v>0</v>
      </c>
      <c r="S19">
        <f>Q19*1.3/4</f>
        <v>0</v>
      </c>
      <c r="T19">
        <f t="shared" si="4"/>
        <v>0</v>
      </c>
      <c r="U19">
        <f>P19*1.3*4/5</f>
        <v>0</v>
      </c>
      <c r="V19">
        <f>Q19*1.3*3/4</f>
        <v>0</v>
      </c>
      <c r="W19">
        <f>V19+U19</f>
        <v>0</v>
      </c>
    </row>
    <row r="20" spans="3:23" x14ac:dyDescent="0.3">
      <c r="C20" s="467"/>
      <c r="D20" s="24" t="s">
        <v>195</v>
      </c>
      <c r="E20" s="112">
        <v>0</v>
      </c>
      <c r="F20" s="112">
        <v>0</v>
      </c>
      <c r="G20" s="113">
        <v>0</v>
      </c>
      <c r="H20" s="113">
        <v>0</v>
      </c>
      <c r="I20" s="113">
        <v>0</v>
      </c>
      <c r="J20" s="112">
        <f t="shared" ref="J20:J22" si="24">ROUNDUP(T20*29/20,1)</f>
        <v>0</v>
      </c>
      <c r="K20" s="114">
        <f t="shared" ref="K20:K22" si="25">ROUNDUP(W20,1)</f>
        <v>0</v>
      </c>
      <c r="M20">
        <f t="shared" si="0"/>
        <v>0</v>
      </c>
      <c r="N20">
        <f>H20*2.35+I20*1.8</f>
        <v>0</v>
      </c>
      <c r="O20">
        <f t="shared" si="1"/>
        <v>0</v>
      </c>
      <c r="P20">
        <f t="shared" si="2"/>
        <v>0</v>
      </c>
      <c r="Q20">
        <f>O20*G20/100</f>
        <v>0</v>
      </c>
      <c r="R20">
        <f t="shared" si="3"/>
        <v>0</v>
      </c>
      <c r="S20">
        <f>Q20*1.3/4</f>
        <v>0</v>
      </c>
      <c r="T20">
        <f t="shared" si="4"/>
        <v>0</v>
      </c>
      <c r="U20">
        <f t="shared" ref="U20:U22" si="26">P20*1.3*4/5</f>
        <v>0</v>
      </c>
      <c r="V20">
        <f t="shared" ref="V20" si="27">Q20*1.3*3/4</f>
        <v>0</v>
      </c>
      <c r="W20">
        <f t="shared" ref="W20:W22" si="28">V20+U20</f>
        <v>0</v>
      </c>
    </row>
    <row r="21" spans="3:23" x14ac:dyDescent="0.3">
      <c r="C21" s="467"/>
      <c r="D21" s="24" t="s">
        <v>181</v>
      </c>
      <c r="E21" s="112">
        <v>0</v>
      </c>
      <c r="F21" s="112">
        <v>0</v>
      </c>
      <c r="G21" s="113">
        <v>0</v>
      </c>
      <c r="H21" s="113">
        <v>0</v>
      </c>
      <c r="I21" s="113">
        <v>0</v>
      </c>
      <c r="J21" s="112">
        <f t="shared" si="24"/>
        <v>0</v>
      </c>
      <c r="K21" s="114">
        <f t="shared" si="25"/>
        <v>0</v>
      </c>
      <c r="M21">
        <f t="shared" si="0"/>
        <v>0</v>
      </c>
      <c r="N21">
        <f>H21*2.35+I21*1.8</f>
        <v>0</v>
      </c>
      <c r="O21">
        <f t="shared" si="1"/>
        <v>0</v>
      </c>
      <c r="P21">
        <f t="shared" si="2"/>
        <v>0</v>
      </c>
      <c r="Q21">
        <f>O21*G21/100</f>
        <v>0</v>
      </c>
      <c r="R21">
        <f t="shared" si="3"/>
        <v>0</v>
      </c>
      <c r="S21">
        <f>Q21*1.3/5</f>
        <v>0</v>
      </c>
      <c r="T21">
        <f t="shared" si="4"/>
        <v>0</v>
      </c>
      <c r="U21">
        <f t="shared" si="26"/>
        <v>0</v>
      </c>
      <c r="V21">
        <f>Q21*1.3*4/5</f>
        <v>0</v>
      </c>
      <c r="W21">
        <f t="shared" si="28"/>
        <v>0</v>
      </c>
    </row>
    <row r="22" spans="3:23" x14ac:dyDescent="0.3">
      <c r="C22" s="467"/>
      <c r="D22" s="24" t="s">
        <v>193</v>
      </c>
      <c r="E22" s="112">
        <v>0</v>
      </c>
      <c r="F22" s="112">
        <v>0</v>
      </c>
      <c r="G22" s="113">
        <v>0</v>
      </c>
      <c r="H22" s="479" t="s">
        <v>31</v>
      </c>
      <c r="I22" s="480"/>
      <c r="J22" s="112">
        <f t="shared" si="24"/>
        <v>0</v>
      </c>
      <c r="K22" s="114">
        <f t="shared" si="25"/>
        <v>0</v>
      </c>
      <c r="M22">
        <f t="shared" si="0"/>
        <v>0</v>
      </c>
      <c r="N22">
        <v>0</v>
      </c>
      <c r="O22">
        <f t="shared" si="1"/>
        <v>0</v>
      </c>
      <c r="P22">
        <f t="shared" si="2"/>
        <v>0</v>
      </c>
      <c r="Q22">
        <f>O22*G22/100</f>
        <v>0</v>
      </c>
      <c r="R22">
        <f t="shared" si="3"/>
        <v>0</v>
      </c>
      <c r="S22">
        <f>Q22*1.3/5</f>
        <v>0</v>
      </c>
      <c r="T22">
        <f t="shared" si="4"/>
        <v>0</v>
      </c>
      <c r="U22">
        <f t="shared" si="26"/>
        <v>0</v>
      </c>
      <c r="V22">
        <f>Q22*1.3*4/5</f>
        <v>0</v>
      </c>
      <c r="W22">
        <f t="shared" si="28"/>
        <v>0</v>
      </c>
    </row>
    <row r="23" spans="3:23" x14ac:dyDescent="0.3">
      <c r="C23" s="467" t="s">
        <v>184</v>
      </c>
      <c r="D23" s="24" t="s">
        <v>70</v>
      </c>
      <c r="E23" s="112">
        <v>0</v>
      </c>
      <c r="F23" s="112">
        <v>0</v>
      </c>
      <c r="G23" s="113">
        <v>0</v>
      </c>
      <c r="H23" s="113">
        <v>0</v>
      </c>
      <c r="I23" s="113">
        <v>0</v>
      </c>
      <c r="J23" s="112">
        <f>ROUNDUP(T23*29/20,1)</f>
        <v>0</v>
      </c>
      <c r="K23" s="114">
        <f>ROUNDUP(W23,1)</f>
        <v>0</v>
      </c>
      <c r="M23">
        <f t="shared" si="0"/>
        <v>0</v>
      </c>
      <c r="N23">
        <f>H23*2.35+I23*1.8</f>
        <v>0</v>
      </c>
      <c r="O23">
        <f t="shared" si="1"/>
        <v>0</v>
      </c>
      <c r="P23">
        <f t="shared" si="2"/>
        <v>0</v>
      </c>
      <c r="Q23">
        <f>O23*G23/200</f>
        <v>0</v>
      </c>
      <c r="R23">
        <f t="shared" si="3"/>
        <v>0</v>
      </c>
      <c r="S23">
        <f>Q23*1.3/4</f>
        <v>0</v>
      </c>
      <c r="T23">
        <f t="shared" si="4"/>
        <v>0</v>
      </c>
      <c r="U23">
        <f>P23*1.3*4/5</f>
        <v>0</v>
      </c>
      <c r="V23">
        <f>Q23*1.3*3/4</f>
        <v>0</v>
      </c>
      <c r="W23">
        <f>V23+U23</f>
        <v>0</v>
      </c>
    </row>
    <row r="24" spans="3:23" ht="16.2" thickBot="1" x14ac:dyDescent="0.35">
      <c r="C24" s="468"/>
      <c r="D24" s="115" t="s">
        <v>69</v>
      </c>
      <c r="E24" s="112">
        <v>0</v>
      </c>
      <c r="F24" s="112">
        <v>0</v>
      </c>
      <c r="G24" s="113">
        <v>0</v>
      </c>
      <c r="H24" s="113">
        <v>0</v>
      </c>
      <c r="I24" s="113">
        <v>0</v>
      </c>
      <c r="J24" s="112">
        <f t="shared" ref="J24" si="29">ROUNDUP(T24*29/20,1)</f>
        <v>0</v>
      </c>
      <c r="K24" s="114">
        <f t="shared" ref="K24" si="30">ROUNDUP(W24,1)</f>
        <v>0</v>
      </c>
      <c r="M24">
        <f t="shared" si="0"/>
        <v>0</v>
      </c>
      <c r="N24">
        <f>H24*2.35+I24*1.8</f>
        <v>0</v>
      </c>
      <c r="O24">
        <f t="shared" si="1"/>
        <v>0</v>
      </c>
      <c r="P24">
        <f t="shared" si="2"/>
        <v>0</v>
      </c>
      <c r="Q24">
        <f>O24*G24/100</f>
        <v>0</v>
      </c>
      <c r="R24">
        <f t="shared" si="3"/>
        <v>0</v>
      </c>
      <c r="S24">
        <f>Q24*1.3/4</f>
        <v>0</v>
      </c>
      <c r="T24">
        <f t="shared" si="4"/>
        <v>0</v>
      </c>
      <c r="U24">
        <f t="shared" ref="U24" si="31">P24*1.3*4/5</f>
        <v>0</v>
      </c>
      <c r="V24">
        <f t="shared" ref="V24" si="32">Q24*1.3*3/4</f>
        <v>0</v>
      </c>
      <c r="W24">
        <f t="shared" ref="W24" si="33">V24+U24</f>
        <v>0</v>
      </c>
    </row>
    <row r="25" spans="3:23" ht="16.2" thickBot="1" x14ac:dyDescent="0.35">
      <c r="C25" s="462" t="s">
        <v>14</v>
      </c>
      <c r="D25" s="463"/>
      <c r="E25" s="463"/>
      <c r="F25" s="463"/>
      <c r="G25" s="463"/>
      <c r="H25" s="119">
        <f>SUM(H7:H24)</f>
        <v>0</v>
      </c>
      <c r="I25" s="119">
        <f>SUM(I7:I24)</f>
        <v>0</v>
      </c>
      <c r="J25" s="120">
        <f>SUM(J7:J24)</f>
        <v>0</v>
      </c>
      <c r="K25" s="121">
        <f>SUM(K7:K24)</f>
        <v>0</v>
      </c>
      <c r="M25">
        <f>SUM(M7:M24)</f>
        <v>0</v>
      </c>
    </row>
    <row r="27" spans="3:23" x14ac:dyDescent="0.3">
      <c r="O27">
        <f>M10+M14+M18+M22</f>
        <v>0</v>
      </c>
    </row>
    <row r="28" spans="3:23" ht="18" x14ac:dyDescent="0.3">
      <c r="C28" s="368" t="s">
        <v>100</v>
      </c>
      <c r="D28" s="369"/>
      <c r="O28">
        <f>M25-O27</f>
        <v>0</v>
      </c>
    </row>
    <row r="29" spans="3:23" ht="18" x14ac:dyDescent="0.3">
      <c r="C29" s="28" t="s">
        <v>76</v>
      </c>
      <c r="D29" s="30">
        <f>J25*sumry!E7</f>
        <v>0</v>
      </c>
      <c r="O29">
        <f>O27*2</f>
        <v>0</v>
      </c>
    </row>
    <row r="30" spans="3:23" ht="18" x14ac:dyDescent="0.3">
      <c r="C30" s="28" t="s">
        <v>188</v>
      </c>
      <c r="D30" s="30">
        <f>K25*sumry!E11</f>
        <v>0</v>
      </c>
      <c r="O30">
        <f>O29+O28</f>
        <v>0</v>
      </c>
    </row>
    <row r="31" spans="3:23" ht="18" x14ac:dyDescent="0.3">
      <c r="C31" s="28" t="s">
        <v>136</v>
      </c>
      <c r="D31" s="30">
        <f>O31*10000/sumry!Q4</f>
        <v>0</v>
      </c>
      <c r="O31">
        <f>O30*2</f>
        <v>0</v>
      </c>
    </row>
    <row r="32" spans="3:23" ht="21" x14ac:dyDescent="0.3">
      <c r="C32" s="28" t="s">
        <v>14</v>
      </c>
      <c r="D32" s="46">
        <f>SUM(D29:D31)</f>
        <v>0</v>
      </c>
    </row>
  </sheetData>
  <mergeCells count="21">
    <mergeCell ref="J4:J5"/>
    <mergeCell ref="K4:K5"/>
    <mergeCell ref="C7:C10"/>
    <mergeCell ref="C3:K3"/>
    <mergeCell ref="C4:C6"/>
    <mergeCell ref="D4:D6"/>
    <mergeCell ref="E4:E5"/>
    <mergeCell ref="F4:F5"/>
    <mergeCell ref="G4:G5"/>
    <mergeCell ref="H4:H5"/>
    <mergeCell ref="I4:I5"/>
    <mergeCell ref="C25:G25"/>
    <mergeCell ref="C28:D28"/>
    <mergeCell ref="H10:I10"/>
    <mergeCell ref="H14:I14"/>
    <mergeCell ref="H18:I18"/>
    <mergeCell ref="H22:I22"/>
    <mergeCell ref="C19:C22"/>
    <mergeCell ref="C23:C24"/>
    <mergeCell ref="C11:C14"/>
    <mergeCell ref="C15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sumry</vt:lpstr>
      <vt:lpstr>Excavation</vt:lpstr>
      <vt:lpstr>Foundation</vt:lpstr>
      <vt:lpstr>Columns</vt:lpstr>
      <vt:lpstr>Beams</vt:lpstr>
      <vt:lpstr>Slaps</vt:lpstr>
      <vt:lpstr>Stairs</vt:lpstr>
      <vt:lpstr>Bricks</vt:lpstr>
      <vt:lpstr>Plastering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FIX 11</cp:lastModifiedBy>
  <dcterms:created xsi:type="dcterms:W3CDTF">2025-10-30T09:53:52Z</dcterms:created>
  <dcterms:modified xsi:type="dcterms:W3CDTF">2026-06-02T20:05:50Z</dcterms:modified>
</cp:coreProperties>
</file>